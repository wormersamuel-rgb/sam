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TIEMBRE" sheetId="1" state="visible" r:id="rId1"/>
    <sheet xmlns:r="http://schemas.openxmlformats.org/officeDocument/2006/relationships" name="OCTUBRE" sheetId="2" state="visible" r:id="rId2"/>
    <sheet xmlns:r="http://schemas.openxmlformats.org/officeDocument/2006/relationships" name="NOVIEMBRE" sheetId="3" state="visible" r:id="rId3"/>
    <sheet xmlns:r="http://schemas.openxmlformats.org/officeDocument/2006/relationships" name="DICIEMBRE" sheetId="4" state="visible" r:id="rId4"/>
    <sheet xmlns:r="http://schemas.openxmlformats.org/officeDocument/2006/relationships" name="Tarifas" sheetId="5" state="veryHidden" r:id="rId5"/>
  </sheets>
  <definedNames>
    <definedName name="Tratamientos">Tarifas!$A$3:$A$65</definedName>
    <definedName name="Duraciones">Tarifas!$B$2:$F$2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€&quot;"/>
    <numFmt numFmtId="165" formatCode="dd\.mm\.yyyy"/>
  </numFmts>
  <fonts count="16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sz val="10"/>
    </font>
    <font>
      <name val="Calibri"/>
      <family val="2"/>
      <b val="1"/>
      <color rgb="FF14202E"/>
      <sz val="10"/>
    </font>
    <font>
      <name val="Calibri"/>
      <family val="2"/>
      <b val="1"/>
      <color rgb="FF7A5208"/>
      <sz val="10"/>
    </font>
    <font>
      <name val="Calibri"/>
      <family val="2"/>
      <b val="1"/>
      <color rgb="FF7A5208"/>
      <sz val="9"/>
    </font>
    <font>
      <name val="Calibri"/>
      <family val="2"/>
      <b val="1"/>
      <color rgb="FFFFFFFF"/>
      <sz val="9"/>
    </font>
    <font>
      <name val="Calibri"/>
      <family val="2"/>
      <color rgb="FF98A2B0"/>
      <sz val="9"/>
    </font>
    <font>
      <name val="Calibri"/>
      <family val="2"/>
      <color rgb="FF14202E"/>
      <sz val="10"/>
    </font>
    <font>
      <name val="Calibri"/>
      <family val="2"/>
      <b val="1"/>
      <color rgb="FF7A5208"/>
      <sz val="11"/>
    </font>
    <font>
      <name val="Calibri"/>
      <family val="2"/>
      <b val="1"/>
      <color rgb="FF98A2B0"/>
      <sz val="9"/>
    </font>
    <font>
      <name val="Calibri"/>
      <family val="2"/>
      <b val="1"/>
      <color rgb="FFFFFFFF"/>
      <sz val="12"/>
    </font>
    <font>
      <name val="Calibri"/>
      <family val="2"/>
      <b val="1"/>
      <color rgb="FFFFFFFF"/>
      <sz val="13"/>
    </font>
    <font>
      <name val="Calibri"/>
      <family val="2"/>
      <b val="1"/>
      <color rgb="FFFFFFFF"/>
      <sz val="11"/>
    </font>
    <font>
      <name val="Calibri"/>
      <family val="2"/>
      <b val="1"/>
      <color rgb="FF0C2640"/>
      <sz val="14"/>
    </font>
    <font>
      <name val="Calibri"/>
      <family val="2"/>
      <i val="1"/>
      <color rgb="FF6B7785"/>
      <sz val="9"/>
    </font>
  </fonts>
  <fills count="12">
    <fill>
      <patternFill/>
    </fill>
    <fill>
      <patternFill patternType="gray125"/>
    </fill>
    <fill>
      <patternFill patternType="solid">
        <fgColor rgb="FF0C2640"/>
      </patternFill>
    </fill>
    <fill>
      <patternFill patternType="solid">
        <fgColor rgb="FF16385A"/>
      </patternFill>
    </fill>
    <fill>
      <patternFill patternType="solid">
        <fgColor rgb="FFFBFAF6"/>
      </patternFill>
    </fill>
    <fill>
      <patternFill patternType="solid">
        <fgColor rgb="FF7A5208"/>
      </patternFill>
    </fill>
    <fill>
      <patternFill patternType="solid">
        <fgColor rgb="FFF6EAD1"/>
      </patternFill>
    </fill>
    <fill>
      <patternFill patternType="solid">
        <fgColor rgb="FFFFFFFF"/>
      </patternFill>
    </fill>
    <fill>
      <patternFill patternType="solid">
        <fgColor rgb="FFFBE5DF"/>
      </patternFill>
    </fill>
    <fill>
      <patternFill patternType="solid">
        <fgColor rgb="FFF0DBB1"/>
      </patternFill>
    </fill>
    <fill>
      <patternFill patternType="solid">
        <fgColor rgb="FFD4941A"/>
      </patternFill>
    </fill>
    <fill>
      <patternFill patternType="solid">
        <fgColor rgb="FFFDF0D5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D9A441"/>
      </bottom>
      <diagonal/>
    </border>
    <border>
      <left style="thin">
        <color rgb="FFD9DEE4"/>
      </left>
      <right style="thin">
        <color rgb="FFD9DEE4"/>
      </right>
      <top style="thin">
        <color rgb="FFD9DEE4"/>
      </top>
      <bottom style="thin">
        <color rgb="FFD9DEE4"/>
      </bottom>
      <diagonal/>
    </border>
    <border>
      <left/>
      <right/>
      <top/>
      <bottom style="thick">
        <color rgb="FFD4941A"/>
      </bottom>
      <diagonal/>
    </border>
    <border>
      <left/>
      <right/>
      <top style="thin">
        <color rgb="FFD9DEE4"/>
      </top>
      <bottom style="thin">
        <color rgb="FFD9DEE4"/>
      </bottom>
      <diagonal/>
    </border>
    <border>
      <left/>
      <right/>
      <top style="thin">
        <color rgb="FFE7B9AE"/>
      </top>
      <bottom style="thin">
        <color rgb="FFE7B9AE"/>
      </bottom>
      <diagonal/>
    </border>
    <border>
      <left/>
      <right/>
      <top/>
      <bottom style="thin">
        <color rgb="FFD4941A"/>
      </bottom>
      <diagonal/>
    </border>
    <border>
      <left style="thin">
        <color rgb="FFFFFFFF"/>
      </left>
      <right style="thin">
        <color rgb="FFFFFFFF"/>
      </right>
      <top/>
      <bottom style="thin">
        <color rgb="FFD4941A"/>
      </bottom>
      <diagonal/>
    </border>
    <border>
      <left/>
      <right style="thin">
        <color rgb="FF7A5208"/>
      </right>
      <top/>
      <bottom style="medium">
        <color rgb="FFD4941A"/>
      </bottom>
      <diagonal/>
    </border>
    <border>
      <left style="medium">
        <color rgb="FFD4941A"/>
      </left>
      <right style="thin">
        <color rgb="FFD9DEE4"/>
      </right>
      <top style="thin">
        <color rgb="FFD9DEE4"/>
      </top>
      <bottom style="thin">
        <color rgb="FFD9DEE4"/>
      </bottom>
      <diagonal/>
    </border>
    <border>
      <left/>
      <right/>
      <top style="medium">
        <color rgb="FFD4941A"/>
      </top>
      <bottom/>
      <diagonal/>
    </border>
    <border>
      <left/>
      <right/>
      <top style="thin">
        <color rgb="FFECC97A"/>
      </top>
      <bottom style="thin">
        <color rgb="FFECC97A"/>
      </bottom>
      <diagonal/>
    </border>
    <border>
      <left/>
      <right/>
      <top style="thin">
        <color rgb="FFECC97A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5" borderId="3" applyAlignment="1" pivotButton="0" quotePrefix="0" xfId="0">
      <alignment horizontal="left" vertical="center" indent="1"/>
    </xf>
    <xf numFmtId="0" fontId="0" fillId="0" borderId="3" pivotButton="0" quotePrefix="0" xfId="0"/>
    <xf numFmtId="0" fontId="4" fillId="6" borderId="0" applyAlignment="1" pivotButton="0" quotePrefix="0" xfId="0">
      <alignment horizontal="left" vertical="center" indent="1"/>
    </xf>
    <xf numFmtId="0" fontId="0" fillId="7" borderId="4" applyAlignment="1" pivotButton="0" quotePrefix="0" xfId="0">
      <alignment horizontal="left" vertical="center" indent="1"/>
    </xf>
    <xf numFmtId="0" fontId="0" fillId="0" borderId="4" pivotButton="0" quotePrefix="0" xfId="0"/>
    <xf numFmtId="0" fontId="0" fillId="8" borderId="5" applyAlignment="1" pivotButton="0" quotePrefix="0" xfId="0">
      <alignment horizontal="left" vertical="center" indent="1"/>
    </xf>
    <xf numFmtId="0" fontId="0" fillId="0" borderId="5" pivotButton="0" quotePrefix="0" xfId="0"/>
    <xf numFmtId="0" fontId="0" fillId="9" borderId="6" pivotButton="0" quotePrefix="0" xfId="0"/>
    <xf numFmtId="0" fontId="5" fillId="9" borderId="7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 wrapText="1" indent="1"/>
    </xf>
    <xf numFmtId="0" fontId="1" fillId="5" borderId="8" applyAlignment="1" pivotButton="0" quotePrefix="0" xfId="0">
      <alignment horizontal="left" vertical="center" wrapText="1" indent="1"/>
    </xf>
    <xf numFmtId="0" fontId="1" fillId="5" borderId="8" applyAlignment="1" pivotButton="0" quotePrefix="0" xfId="0">
      <alignment horizontal="center" vertical="center" wrapText="1" indent="1"/>
    </xf>
    <xf numFmtId="0" fontId="7" fillId="7" borderId="2" applyAlignment="1" pivotButton="0" quotePrefix="0" xfId="0">
      <alignment horizontal="center" vertical="center"/>
    </xf>
    <xf numFmtId="0" fontId="8" fillId="7" borderId="2" applyAlignment="1" applyProtection="1" pivotButton="0" quotePrefix="0" xfId="0">
      <alignment horizontal="left" vertical="center" indent="1"/>
      <protection locked="0" hidden="0"/>
    </xf>
    <xf numFmtId="49" fontId="8" fillId="7" borderId="2" applyAlignment="1" applyProtection="1" pivotButton="0" quotePrefix="0" xfId="0">
      <alignment horizontal="center" vertical="center" indent="1"/>
      <protection locked="0" hidden="0"/>
    </xf>
    <xf numFmtId="0" fontId="8" fillId="7" borderId="2" applyAlignment="1" applyProtection="1" pivotButton="0" quotePrefix="0" xfId="0">
      <alignment horizontal="center" vertical="center" indent="1"/>
      <protection locked="0" hidden="0"/>
    </xf>
    <xf numFmtId="165" fontId="8" fillId="7" borderId="2" applyAlignment="1" applyProtection="1" pivotButton="0" quotePrefix="0" xfId="0">
      <alignment horizontal="center" vertical="center" indent="1"/>
      <protection locked="0" hidden="0"/>
    </xf>
    <xf numFmtId="0" fontId="4" fillId="7" borderId="2" applyAlignment="1" applyProtection="1" pivotButton="0" quotePrefix="0" xfId="0">
      <alignment horizontal="left" vertical="center" indent="1"/>
      <protection locked="0" hidden="0"/>
    </xf>
    <xf numFmtId="164" fontId="9" fillId="6" borderId="9" applyAlignment="1" applyProtection="1" pivotButton="0" quotePrefix="0" xfId="0">
      <alignment horizontal="center" vertical="center" indent="1"/>
      <protection locked="1" hidden="1"/>
    </xf>
    <xf numFmtId="0" fontId="10" fillId="7" borderId="2" applyAlignment="1" applyProtection="1" pivotButton="0" quotePrefix="0" xfId="0">
      <alignment horizontal="center" vertical="center" indent="1"/>
      <protection locked="1" hidden="1"/>
    </xf>
    <xf numFmtId="0" fontId="7" fillId="4" borderId="2" applyAlignment="1" pivotButton="0" quotePrefix="0" xfId="0">
      <alignment horizontal="center" vertical="center"/>
    </xf>
    <xf numFmtId="0" fontId="8" fillId="4" borderId="2" applyAlignment="1" applyProtection="1" pivotButton="0" quotePrefix="0" xfId="0">
      <alignment horizontal="left" vertical="center" indent="1"/>
      <protection locked="0" hidden="0"/>
    </xf>
    <xf numFmtId="49" fontId="8" fillId="4" borderId="2" applyAlignment="1" applyProtection="1" pivotButton="0" quotePrefix="0" xfId="0">
      <alignment horizontal="center" vertical="center" indent="1"/>
      <protection locked="0" hidden="0"/>
    </xf>
    <xf numFmtId="0" fontId="8" fillId="4" borderId="2" applyAlignment="1" applyProtection="1" pivotButton="0" quotePrefix="0" xfId="0">
      <alignment horizontal="center" vertical="center" indent="1"/>
      <protection locked="0" hidden="0"/>
    </xf>
    <xf numFmtId="165" fontId="8" fillId="4" borderId="2" applyAlignment="1" applyProtection="1" pivotButton="0" quotePrefix="0" xfId="0">
      <alignment horizontal="center" vertical="center" indent="1"/>
      <protection locked="0" hidden="0"/>
    </xf>
    <xf numFmtId="0" fontId="4" fillId="4" borderId="2" applyAlignment="1" applyProtection="1" pivotButton="0" quotePrefix="0" xfId="0">
      <alignment horizontal="left" vertical="center" indent="1"/>
      <protection locked="0" hidden="0"/>
    </xf>
    <xf numFmtId="0" fontId="10" fillId="4" borderId="2" applyAlignment="1" applyProtection="1" pivotButton="0" quotePrefix="0" xfId="0">
      <alignment horizontal="center" vertical="center" indent="1"/>
      <protection locked="1" hidden="1"/>
    </xf>
    <xf numFmtId="0" fontId="11" fillId="5" borderId="10" applyAlignment="1" pivotButton="0" quotePrefix="0" xfId="0">
      <alignment horizontal="left" vertical="center" indent="1"/>
    </xf>
    <xf numFmtId="0" fontId="0" fillId="0" borderId="10" pivotButton="0" quotePrefix="0" xfId="0"/>
    <xf numFmtId="0" fontId="1" fillId="5" borderId="10" applyAlignment="1" pivotButton="0" quotePrefix="0" xfId="0">
      <alignment horizontal="right" vertical="center"/>
    </xf>
    <xf numFmtId="0" fontId="12" fillId="5" borderId="10" applyAlignment="1" applyProtection="1" pivotButton="0" quotePrefix="0" xfId="0">
      <alignment horizontal="center" vertical="center"/>
      <protection locked="1" hidden="1"/>
    </xf>
    <xf numFmtId="0" fontId="13" fillId="5" borderId="10" applyAlignment="1" pivotButton="0" quotePrefix="0" xfId="0">
      <alignment horizontal="right" vertical="center" indent="1"/>
    </xf>
    <xf numFmtId="164" fontId="14" fillId="10" borderId="10" applyAlignment="1" applyProtection="1" pivotButton="0" quotePrefix="0" xfId="0">
      <alignment horizontal="center" vertical="center"/>
      <protection locked="1" hidden="1"/>
    </xf>
    <xf numFmtId="0" fontId="1" fillId="5" borderId="10" applyAlignment="1" applyProtection="1" pivotButton="0" quotePrefix="0" xfId="0">
      <alignment horizontal="center" vertical="center"/>
      <protection locked="1" hidden="1"/>
    </xf>
    <xf numFmtId="0" fontId="0" fillId="11" borderId="11" applyAlignment="1" pivotButton="0" quotePrefix="0" xfId="0">
      <alignment horizontal="left" vertical="center" indent="1"/>
    </xf>
    <xf numFmtId="0" fontId="0" fillId="0" borderId="11" pivotButton="0" quotePrefix="0" xfId="0"/>
    <xf numFmtId="0" fontId="15" fillId="0" borderId="0" applyAlignment="1" pivotButton="0" quotePrefix="0" xfId="0">
      <alignment horizontal="left" vertical="top" wrapText="1" indent="1"/>
    </xf>
    <xf numFmtId="0" fontId="0" fillId="2" borderId="0" applyAlignment="1" pivotButton="0" quotePrefix="0" xfId="0">
      <alignment horizontal="left" vertical="center" indent="1"/>
    </xf>
    <xf numFmtId="0" fontId="1" fillId="3" borderId="1" applyAlignment="1" pivotButton="0" quotePrefix="0" xfId="0">
      <alignment horizontal="left" vertical="center" wrapText="1" indent="1"/>
    </xf>
    <xf numFmtId="0" fontId="1" fillId="3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indent="1"/>
    </xf>
    <xf numFmtId="164" fontId="3" fillId="0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 indent="1"/>
    </xf>
    <xf numFmtId="164" fontId="3" fillId="4" borderId="2" applyAlignment="1" pivotButton="0" quotePrefix="0" xfId="0">
      <alignment horizontal="center" vertical="center"/>
    </xf>
  </cellXfs>
  <cellStyles count="1">
    <cellStyle name="Normal" xfId="0" builtinId="0" hidden="0"/>
  </cellStyles>
  <dxfs count="5">
    <dxf>
      <fill>
        <patternFill patternType="solid">
          <bgColor rgb="FFFCE4E4"/>
        </patternFill>
      </fill>
    </dxf>
    <dxf>
      <fill>
        <patternFill patternType="solid">
          <bgColor rgb="FFD9F2E1"/>
        </patternFill>
      </fill>
    </dxf>
    <dxf>
      <font>
        <b val="1"/>
        <color rgb="FF1B7A3D"/>
      </font>
      <fill>
        <patternFill patternType="solid">
          <bgColor rgb="FFD9F2E1"/>
        </patternFill>
      </fill>
    </dxf>
    <dxf>
      <font>
        <b val="1"/>
        <color rgb="FF1B7A3D"/>
      </font>
    </dxf>
    <dxf>
      <font>
        <b val="1"/>
        <color rgb="FFB26A00"/>
      </font>
      <fill>
        <patternFill patternType="solid">
          <bgColor rgb="FFFDF0D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14000</colOff>
      <row>0</row>
      <rowOff>138000</rowOff>
    </from>
    <ext cx="3238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14000</colOff>
      <row>0</row>
      <rowOff>138000</rowOff>
    </from>
    <ext cx="3238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14000</colOff>
      <row>0</row>
      <rowOff>138000</rowOff>
    </from>
    <ext cx="3238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14000</colOff>
      <row>0</row>
      <rowOff>138000</rowOff>
    </from>
    <ext cx="3238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FFD4941A"/>
    <outlinePr summaryBelow="1" summaryRight="1"/>
    <pageSetUpPr/>
  </sheetPr>
  <dimension ref="A1:Q58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16" customWidth="1" min="4" max="4"/>
    <col width="32" customWidth="1" min="5" max="5"/>
    <col width="14" customWidth="1" min="6" max="6"/>
    <col width="16" customWidth="1" min="7" max="7"/>
    <col width="11" customWidth="1" min="8" max="8"/>
    <col width="14" customWidth="1" min="9" max="9"/>
    <col width="14" customWidth="1" min="10" max="10"/>
    <col width="34" customWidth="1" min="11" max="11"/>
    <col width="24" customWidth="1" min="12" max="12"/>
    <col width="24" customWidth="1" min="13" max="13"/>
    <col width="11" customWidth="1" min="14" max="14"/>
    <col width="14" customWidth="1" min="15" max="15"/>
    <col width="15" customWidth="1" min="16" max="16"/>
    <col width="16" customWidth="1" min="17" max="17"/>
  </cols>
  <sheetData>
    <row r="1" ht="46.05" customHeight="1">
      <c r="A1" s="1" t="inlineStr">
        <is>
          <r>
            <rPr>
              <rFont val="Calibri"/>
              <b val="1"/>
              <color rgb="FFFFFFFF"/>
              <sz val="22"/>
            </rPr>
            <t xml:space="preserve">     medassure beauty</t>
          </r>
          <r>
            <rPr>
              <rFont val="Calibri"/>
              <color rgb="FFEFD6A8"/>
              <sz val="13"/>
            </rPr>
            <t xml:space="preserve">      Seguro de cirugía estética</t>
          </r>
          <r>
            <rPr>
              <rFont val="Calibri"/>
              <color rgb="FFEFD6A8"/>
              <sz val="13"/>
            </rPr>
            <t xml:space="preserve">   ·   </t>
          </r>
          <r>
            <rPr>
              <rFont val="Calibri"/>
              <b val="1"/>
              <color rgb="FFFFFFFF"/>
              <sz val="13"/>
            </rPr>
            <t>Septiembre</t>
          </r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9.95" customHeight="1">
      <c r="A2" s="3" t="inlineStr">
        <is>
          <r>
            <rPr>
              <rFont val="Calibri"/>
              <b val="1"/>
              <color rgb="FF7A5208"/>
              <sz val="10"/>
            </rPr>
            <t>Seleccione los tratamientos y la duración utilizando las pestañas desplegables (▼). La prima se calculará automáticamente en función del tratamiento de mayor importe seleccionado.</t>
          </r>
          <r>
            <rPr>
              <rFont val="Calibri"/>
              <i val="1"/>
              <color rgb="FF14202E"/>
              <sz val="10"/>
            </rPr>
            <t xml:space="preserve">      Para dudas relacionadas con las altas de los pacientes: </t>
          </r>
          <r>
            <rPr>
              <rFont val="Calibri"/>
              <b val="1"/>
              <color rgb="FF7A5208"/>
              <sz val="10"/>
            </rPr>
            <t>info@medassure.es</t>
          </r>
          <r>
            <rPr>
              <rFont val="Calibri"/>
              <i val="1"/>
              <color rgb="FF14202E"/>
              <sz val="10"/>
            </rPr>
            <t xml:space="preserve">  ·  WhatsApp </t>
          </r>
          <r>
            <rPr>
              <rFont val="Calibri"/>
              <b val="1"/>
              <color rgb="FF7A5208"/>
              <sz val="10"/>
            </rPr>
            <t>672 69 68 21</t>
          </r>
        </is>
      </c>
    </row>
    <row r="3" ht="24" customHeight="1">
      <c r="A3" s="4" t="inlineStr">
        <is>
          <r>
            <rPr>
              <rFont val="Calibri"/>
              <b val="1"/>
              <color rgb="FF98A2B0"/>
              <sz val="9"/>
            </rPr>
            <t xml:space="preserve">PLAZO  </t>
          </r>
          <r>
            <rPr>
              <rFont val="Calibri"/>
              <color rgb="FF14202E"/>
              <sz val="10"/>
            </rPr>
            <t xml:space="preserve">Las altas de septiembre se pueden enviar </t>
          </r>
          <r>
            <rPr>
              <rFont val="Calibri"/>
              <b val="1"/>
              <color rgb="FF7A5208"/>
              <sz val="10"/>
            </rPr>
            <t>hasta el 5 de octubre</t>
          </r>
          <r>
            <rPr>
              <rFont val="Calibri"/>
              <b val="1"/>
              <color rgb="FF98A2B0"/>
              <sz val="9"/>
            </rPr>
            <t xml:space="preserve">        CONDICIONES  </t>
          </r>
          <r>
            <rPr>
              <rFont val="Calibri"/>
              <color rgb="FF14202E"/>
              <sz val="10"/>
            </rPr>
            <t xml:space="preserve">Duración: </t>
          </r>
          <r>
            <rPr>
              <rFont val="Calibri"/>
              <b val="1"/>
              <color rgb="FF14202E"/>
              <sz val="10"/>
            </rPr>
            <t>1 año</t>
          </r>
          <r>
            <rPr>
              <rFont val="Calibri"/>
              <color rgb="FF98A2B0"/>
              <sz val="10"/>
            </rPr>
            <t xml:space="preserve">  →  </t>
          </r>
          <r>
            <rPr>
              <rFont val="Calibri"/>
              <b val="1"/>
              <color rgb="FF7A5208"/>
              <sz val="10"/>
            </rPr>
            <t>5 años</t>
          </r>
          <r>
            <rPr>
              <rFont val="Calibri"/>
              <color rgb="FF14202E"/>
              <sz val="10"/>
            </rPr>
            <t xml:space="preserve">        Hasta </t>
          </r>
          <r>
            <rPr>
              <rFont val="Calibri"/>
              <b val="1"/>
              <color rgb="FF14202E"/>
              <sz val="10"/>
            </rPr>
            <t>3 tratamientos</t>
          </r>
          <r>
            <rPr>
              <rFont val="Calibri"/>
              <color rgb="FF14202E"/>
              <sz val="10"/>
            </rPr>
            <t xml:space="preserve"> por paciente</t>
          </r>
          <r>
            <rPr>
              <rFont val="Calibri"/>
              <i val="1"/>
              <color rgb="FF98A2B0"/>
              <sz val="9"/>
            </rPr>
            <t xml:space="preserve">  (la prima corresponde al tratamiento de mayor importe)</t>
          </r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</row>
    <row r="4" ht="19.95" customHeight="1">
      <c r="A4" s="6" t="inlineStr">
        <is>
          <r>
            <rPr>
              <rFont val="Calibri"/>
              <family val="2"/>
              <b val="1"/>
              <color rgb="FF9A2A2A"/>
              <sz val="10"/>
            </rPr>
            <t xml:space="preserve">⚠  IMPORTANTE  </t>
          </r>
          <r>
            <rPr>
              <rFont val="Calibri"/>
              <family val="2"/>
              <color rgb="FF9A2A2A"/>
              <sz val="10"/>
            </rPr>
            <t xml:space="preserve">Comunique cualquier complicación en un plazo máximo de </t>
          </r>
          <r>
            <rPr>
              <rFont val="Calibri"/>
              <family val="2"/>
              <b val="1"/>
              <color rgb="FF9A2A2A"/>
              <sz val="10"/>
            </rPr>
            <t>7 días</t>
          </r>
          <r>
            <rPr>
              <rFont val="Calibri"/>
              <family val="2"/>
              <color rgb="FF9A2A2A"/>
              <sz val="10"/>
            </rPr>
            <t xml:space="preserve"> a  </t>
          </r>
          <r>
            <rPr>
              <rFont val="Calibri"/>
              <family val="2"/>
              <b val="1"/>
              <color rgb="FF9A2A2A"/>
              <sz val="10"/>
            </rPr>
            <t>siniestros@iberassekuranz.es</t>
          </r>
          <r>
            <rPr>
              <rFont val="Calibri"/>
              <family val="2"/>
              <color rgb="FF9A2A2A"/>
              <sz val="10"/>
            </rPr>
            <t xml:space="preserve">   ·   Tel. </t>
          </r>
          <r>
            <rPr>
              <rFont val="Calibri"/>
              <family val="2"/>
              <b val="1"/>
              <color rgb="FF9A2A2A"/>
              <sz val="10"/>
            </rPr>
            <t>91 781 56 32</t>
          </r>
          <r>
            <rPr>
              <rFont val="Calibri"/>
              <family val="2"/>
              <color rgb="FF9A2A2A"/>
              <sz val="10"/>
            </rPr>
            <t>.</t>
          </r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</row>
    <row r="5" ht="16.95" customHeight="1">
      <c r="A5" s="8" t="n"/>
      <c r="B5" s="9" t="inlineStr">
        <is>
          <t>MÉDICO</t>
        </is>
      </c>
      <c r="C5" s="9" t="inlineStr">
        <is>
          <t>DATOS DEL PACIENTE</t>
        </is>
      </c>
      <c r="D5" s="9" t="n"/>
      <c r="E5" s="9" t="n"/>
      <c r="F5" s="9" t="n"/>
      <c r="G5" s="9" t="n"/>
      <c r="H5" s="9" t="n"/>
      <c r="I5" s="9" t="n"/>
      <c r="J5" s="9" t="n"/>
      <c r="K5" s="9" t="inlineStr">
        <is>
          <t>DATOS DE LA PÓLIZA</t>
        </is>
      </c>
      <c r="L5" s="9" t="n"/>
      <c r="M5" s="9" t="n"/>
      <c r="N5" s="9" t="n"/>
      <c r="O5" s="9" t="n"/>
      <c r="P5" s="9" t="inlineStr">
        <is>
          <t>ESTADO</t>
        </is>
      </c>
      <c r="Q5" s="9" t="inlineStr">
        <is>
          <t>PÓLIZA</t>
        </is>
      </c>
    </row>
    <row r="6" ht="30" customHeight="1">
      <c r="A6" s="10" t="inlineStr">
        <is>
          <t>Nº</t>
        </is>
      </c>
      <c r="B6" s="11" t="inlineStr">
        <is>
          <t>Cirujano/a *</t>
        </is>
      </c>
      <c r="C6" s="11" t="inlineStr">
        <is>
          <t>Nombre *</t>
        </is>
      </c>
      <c r="D6" s="11" t="inlineStr">
        <is>
          <t>Apellidos *</t>
        </is>
      </c>
      <c r="E6" s="11" t="inlineStr">
        <is>
          <t>Dirección *</t>
        </is>
      </c>
      <c r="F6" s="12" t="inlineStr">
        <is>
          <t>Código postal *</t>
        </is>
      </c>
      <c r="G6" s="11" t="inlineStr">
        <is>
          <t>Localidad *</t>
        </is>
      </c>
      <c r="H6" s="12" t="inlineStr">
        <is>
          <t>País *</t>
        </is>
      </c>
      <c r="I6" s="12" t="inlineStr">
        <is>
          <t>Fecha de nacimiento *</t>
        </is>
      </c>
      <c r="J6" s="12" t="inlineStr">
        <is>
          <t>Fecha de operación *</t>
        </is>
      </c>
      <c r="K6" s="11" t="inlineStr">
        <is>
          <t>Tratamiento 1 *</t>
        </is>
      </c>
      <c r="L6" s="11" t="inlineStr">
        <is>
          <t>Tratamiento 2 (opc.)</t>
        </is>
      </c>
      <c r="M6" s="11" t="inlineStr">
        <is>
          <t>Tratamiento 3 (opc.)</t>
        </is>
      </c>
      <c r="N6" s="12" t="inlineStr">
        <is>
          <t>Duración *</t>
        </is>
      </c>
      <c r="O6" s="12" t="inlineStr">
        <is>
          <t>Prima</t>
        </is>
      </c>
      <c r="P6" s="12" t="inlineStr">
        <is>
          <t>Estado</t>
        </is>
      </c>
      <c r="Q6" s="12" t="inlineStr">
        <is>
          <t>Nº Póliza</t>
        </is>
      </c>
    </row>
    <row r="7" ht="21" customHeight="1">
      <c r="A7" s="13" t="n">
        <v>1</v>
      </c>
      <c r="B7" s="14" t="n"/>
      <c r="C7" s="14" t="n"/>
      <c r="D7" s="14" t="n"/>
      <c r="E7" s="14" t="n"/>
      <c r="F7" s="15" t="n"/>
      <c r="G7" s="14" t="n"/>
      <c r="H7" s="16" t="n"/>
      <c r="I7" s="17" t="n"/>
      <c r="J7" s="17" t="n"/>
      <c r="K7" s="18" t="n"/>
      <c r="L7" s="14" t="n"/>
      <c r="M7" s="14" t="n"/>
      <c r="N7" s="16" t="n"/>
      <c r="O7" s="19">
        <f>IFERROR(IF(N7="","",IF(MAX(IFERROR(INDEX(Tarifas!$B$3:$F$65,MATCH(K7,Tarifas!$A$3:$A$65,0),MATCH(N7,Tarifas!$B$2:$F$2,0)),0),IFERROR(INDEX(Tarifas!$B$3:$F$65,MATCH(L7,Tarifas!$A$3:$A$65,0),MATCH(N7,Tarifas!$B$2:$F$2,0)),0),IFERROR(INDEX(Tarifas!$B$3:$F$65,MATCH(M7,Tarifas!$A$3:$A$65,0),MATCH(N7,Tarifas!$B$2:$F$2,0)),0))=0,"",MAX(IFERROR(INDEX(Tarifas!$B$3:$F$65,MATCH(K7,Tarifas!$A$3:$A$65,0),MATCH(N7,Tarifas!$B$2:$F$2,0)),0),IFERROR(INDEX(Tarifas!$B$3:$F$65,MATCH(L7,Tarifas!$A$3:$A$65,0),MATCH(N7,Tarifas!$B$2:$F$2,0)),0),IFERROR(INDEX(Tarifas!$B$3:$F$65,MATCH(M7,Tarifas!$A$3:$A$65,0),MATCH(N7,Tarifas!$B$2:$F$2,0)),0)))),"")</f>
        <v/>
      </c>
      <c r="P7" s="20">
        <f>IF(NOT(OR(B7&lt;&gt;"",C7&lt;&gt;"",D7&lt;&gt;"",E7&lt;&gt;"",F7&lt;&gt;"",G7&lt;&gt;"",H7&lt;&gt;"",I7&lt;&gt;"",J7&lt;&gt;"",K7&lt;&gt;"",N7&lt;&gt;"")),"",IF(AND(B7&lt;&gt;"",C7&lt;&gt;"",D7&lt;&gt;"",E7&lt;&gt;"",F7&lt;&gt;"",G7&lt;&gt;"",H7&lt;&gt;"",I7&lt;&gt;"",J7&lt;&gt;"",K7&lt;&gt;"",N7&lt;&gt;""),"✓ Completo","⚠ Faltan datos"))</f>
        <v/>
      </c>
      <c r="Q7" s="16" t="n"/>
    </row>
    <row r="8" ht="21" customHeight="1">
      <c r="A8" s="21" t="n">
        <v>2</v>
      </c>
      <c r="B8" s="22" t="n"/>
      <c r="C8" s="22" t="n"/>
      <c r="D8" s="22" t="n"/>
      <c r="E8" s="22" t="n"/>
      <c r="F8" s="23" t="n"/>
      <c r="G8" s="22" t="n"/>
      <c r="H8" s="24" t="n"/>
      <c r="I8" s="25" t="n"/>
      <c r="J8" s="25" t="n"/>
      <c r="K8" s="26" t="n"/>
      <c r="L8" s="22" t="n"/>
      <c r="M8" s="22" t="n"/>
      <c r="N8" s="24" t="n"/>
      <c r="O8" s="19">
        <f>IFERROR(IF(N8="","",IF(MAX(IFERROR(INDEX(Tarifas!$B$3:$F$65,MATCH(K8,Tarifas!$A$3:$A$65,0),MATCH(N8,Tarifas!$B$2:$F$2,0)),0),IFERROR(INDEX(Tarifas!$B$3:$F$65,MATCH(L8,Tarifas!$A$3:$A$65,0),MATCH(N8,Tarifas!$B$2:$F$2,0)),0),IFERROR(INDEX(Tarifas!$B$3:$F$65,MATCH(M8,Tarifas!$A$3:$A$65,0),MATCH(N8,Tarifas!$B$2:$F$2,0)),0))=0,"",MAX(IFERROR(INDEX(Tarifas!$B$3:$F$65,MATCH(K8,Tarifas!$A$3:$A$65,0),MATCH(N8,Tarifas!$B$2:$F$2,0)),0),IFERROR(INDEX(Tarifas!$B$3:$F$65,MATCH(L8,Tarifas!$A$3:$A$65,0),MATCH(N8,Tarifas!$B$2:$F$2,0)),0),IFERROR(INDEX(Tarifas!$B$3:$F$65,MATCH(M8,Tarifas!$A$3:$A$65,0),MATCH(N8,Tarifas!$B$2:$F$2,0)),0)))),"")</f>
        <v/>
      </c>
      <c r="P8" s="27">
        <f>IF(NOT(OR(B8&lt;&gt;"",C8&lt;&gt;"",D8&lt;&gt;"",E8&lt;&gt;"",F8&lt;&gt;"",G8&lt;&gt;"",H8&lt;&gt;"",I8&lt;&gt;"",J8&lt;&gt;"",K8&lt;&gt;"",N8&lt;&gt;"")),"",IF(AND(B8&lt;&gt;"",C8&lt;&gt;"",D8&lt;&gt;"",E8&lt;&gt;"",F8&lt;&gt;"",G8&lt;&gt;"",H8&lt;&gt;"",I8&lt;&gt;"",J8&lt;&gt;"",K8&lt;&gt;"",N8&lt;&gt;""),"✓ Completo","⚠ Faltan datos"))</f>
        <v/>
      </c>
      <c r="Q8" s="24" t="n"/>
    </row>
    <row r="9" ht="21" customHeight="1">
      <c r="A9" s="13" t="n">
        <v>3</v>
      </c>
      <c r="B9" s="14" t="n"/>
      <c r="C9" s="14" t="n"/>
      <c r="D9" s="14" t="n"/>
      <c r="E9" s="14" t="n"/>
      <c r="F9" s="15" t="n"/>
      <c r="G9" s="14" t="n"/>
      <c r="H9" s="16" t="n"/>
      <c r="I9" s="17" t="n"/>
      <c r="J9" s="17" t="n"/>
      <c r="K9" s="18" t="n"/>
      <c r="L9" s="14" t="n"/>
      <c r="M9" s="14" t="n"/>
      <c r="N9" s="16" t="n"/>
      <c r="O9" s="19">
        <f>IFERROR(IF(N9="","",IF(MAX(IFERROR(INDEX(Tarifas!$B$3:$F$65,MATCH(K9,Tarifas!$A$3:$A$65,0),MATCH(N9,Tarifas!$B$2:$F$2,0)),0),IFERROR(INDEX(Tarifas!$B$3:$F$65,MATCH(L9,Tarifas!$A$3:$A$65,0),MATCH(N9,Tarifas!$B$2:$F$2,0)),0),IFERROR(INDEX(Tarifas!$B$3:$F$65,MATCH(M9,Tarifas!$A$3:$A$65,0),MATCH(N9,Tarifas!$B$2:$F$2,0)),0))=0,"",MAX(IFERROR(INDEX(Tarifas!$B$3:$F$65,MATCH(K9,Tarifas!$A$3:$A$65,0),MATCH(N9,Tarifas!$B$2:$F$2,0)),0),IFERROR(INDEX(Tarifas!$B$3:$F$65,MATCH(L9,Tarifas!$A$3:$A$65,0),MATCH(N9,Tarifas!$B$2:$F$2,0)),0),IFERROR(INDEX(Tarifas!$B$3:$F$65,MATCH(M9,Tarifas!$A$3:$A$65,0),MATCH(N9,Tarifas!$B$2:$F$2,0)),0)))),"")</f>
        <v/>
      </c>
      <c r="P9" s="20">
        <f>IF(NOT(OR(B9&lt;&gt;"",C9&lt;&gt;"",D9&lt;&gt;"",E9&lt;&gt;"",F9&lt;&gt;"",G9&lt;&gt;"",H9&lt;&gt;"",I9&lt;&gt;"",J9&lt;&gt;"",K9&lt;&gt;"",N9&lt;&gt;"")),"",IF(AND(B9&lt;&gt;"",C9&lt;&gt;"",D9&lt;&gt;"",E9&lt;&gt;"",F9&lt;&gt;"",G9&lt;&gt;"",H9&lt;&gt;"",I9&lt;&gt;"",J9&lt;&gt;"",K9&lt;&gt;"",N9&lt;&gt;""),"✓ Completo","⚠ Faltan datos"))</f>
        <v/>
      </c>
      <c r="Q9" s="16" t="n"/>
    </row>
    <row r="10" ht="21" customHeight="1">
      <c r="A10" s="21" t="n">
        <v>4</v>
      </c>
      <c r="B10" s="22" t="n"/>
      <c r="C10" s="22" t="n"/>
      <c r="D10" s="22" t="n"/>
      <c r="E10" s="22" t="n"/>
      <c r="F10" s="23" t="n"/>
      <c r="G10" s="22" t="n"/>
      <c r="H10" s="24" t="n"/>
      <c r="I10" s="25" t="n"/>
      <c r="J10" s="25" t="n"/>
      <c r="K10" s="26" t="n"/>
      <c r="L10" s="22" t="n"/>
      <c r="M10" s="22" t="n"/>
      <c r="N10" s="24" t="n"/>
      <c r="O10" s="19">
        <f>IFERROR(IF(N10="","",IF(MAX(IFERROR(INDEX(Tarifas!$B$3:$F$65,MATCH(K10,Tarifas!$A$3:$A$65,0),MATCH(N10,Tarifas!$B$2:$F$2,0)),0),IFERROR(INDEX(Tarifas!$B$3:$F$65,MATCH(L10,Tarifas!$A$3:$A$65,0),MATCH(N10,Tarifas!$B$2:$F$2,0)),0),IFERROR(INDEX(Tarifas!$B$3:$F$65,MATCH(M10,Tarifas!$A$3:$A$65,0),MATCH(N10,Tarifas!$B$2:$F$2,0)),0))=0,"",MAX(IFERROR(INDEX(Tarifas!$B$3:$F$65,MATCH(K10,Tarifas!$A$3:$A$65,0),MATCH(N10,Tarifas!$B$2:$F$2,0)),0),IFERROR(INDEX(Tarifas!$B$3:$F$65,MATCH(L10,Tarifas!$A$3:$A$65,0),MATCH(N10,Tarifas!$B$2:$F$2,0)),0),IFERROR(INDEX(Tarifas!$B$3:$F$65,MATCH(M10,Tarifas!$A$3:$A$65,0),MATCH(N10,Tarifas!$B$2:$F$2,0)),0)))),"")</f>
        <v/>
      </c>
      <c r="P10" s="27">
        <f>IF(NOT(OR(B10&lt;&gt;"",C10&lt;&gt;"",D10&lt;&gt;"",E10&lt;&gt;"",F10&lt;&gt;"",G10&lt;&gt;"",H10&lt;&gt;"",I10&lt;&gt;"",J10&lt;&gt;"",K10&lt;&gt;"",N10&lt;&gt;"")),"",IF(AND(B10&lt;&gt;"",C10&lt;&gt;"",D10&lt;&gt;"",E10&lt;&gt;"",F10&lt;&gt;"",G10&lt;&gt;"",H10&lt;&gt;"",I10&lt;&gt;"",J10&lt;&gt;"",K10&lt;&gt;"",N10&lt;&gt;""),"✓ Completo","⚠ Faltan datos"))</f>
        <v/>
      </c>
      <c r="Q10" s="24" t="n"/>
    </row>
    <row r="11" ht="21" customHeight="1">
      <c r="A11" s="13" t="n">
        <v>5</v>
      </c>
      <c r="B11" s="14" t="n"/>
      <c r="C11" s="14" t="n"/>
      <c r="D11" s="14" t="n"/>
      <c r="E11" s="14" t="n"/>
      <c r="F11" s="15" t="n"/>
      <c r="G11" s="14" t="n"/>
      <c r="H11" s="16" t="n"/>
      <c r="I11" s="17" t="n"/>
      <c r="J11" s="17" t="n"/>
      <c r="K11" s="18" t="n"/>
      <c r="L11" s="14" t="n"/>
      <c r="M11" s="14" t="n"/>
      <c r="N11" s="16" t="n"/>
      <c r="O11" s="19">
        <f>IFERROR(IF(N11="","",IF(MAX(IFERROR(INDEX(Tarifas!$B$3:$F$65,MATCH(K11,Tarifas!$A$3:$A$65,0),MATCH(N11,Tarifas!$B$2:$F$2,0)),0),IFERROR(INDEX(Tarifas!$B$3:$F$65,MATCH(L11,Tarifas!$A$3:$A$65,0),MATCH(N11,Tarifas!$B$2:$F$2,0)),0),IFERROR(INDEX(Tarifas!$B$3:$F$65,MATCH(M11,Tarifas!$A$3:$A$65,0),MATCH(N11,Tarifas!$B$2:$F$2,0)),0))=0,"",MAX(IFERROR(INDEX(Tarifas!$B$3:$F$65,MATCH(K11,Tarifas!$A$3:$A$65,0),MATCH(N11,Tarifas!$B$2:$F$2,0)),0),IFERROR(INDEX(Tarifas!$B$3:$F$65,MATCH(L11,Tarifas!$A$3:$A$65,0),MATCH(N11,Tarifas!$B$2:$F$2,0)),0),IFERROR(INDEX(Tarifas!$B$3:$F$65,MATCH(M11,Tarifas!$A$3:$A$65,0),MATCH(N11,Tarifas!$B$2:$F$2,0)),0)))),"")</f>
        <v/>
      </c>
      <c r="P11" s="20">
        <f>IF(NOT(OR(B11&lt;&gt;"",C11&lt;&gt;"",D11&lt;&gt;"",E11&lt;&gt;"",F11&lt;&gt;"",G11&lt;&gt;"",H11&lt;&gt;"",I11&lt;&gt;"",J11&lt;&gt;"",K11&lt;&gt;"",N11&lt;&gt;"")),"",IF(AND(B11&lt;&gt;"",C11&lt;&gt;"",D11&lt;&gt;"",E11&lt;&gt;"",F11&lt;&gt;"",G11&lt;&gt;"",H11&lt;&gt;"",I11&lt;&gt;"",J11&lt;&gt;"",K11&lt;&gt;"",N11&lt;&gt;""),"✓ Completo","⚠ Faltan datos"))</f>
        <v/>
      </c>
      <c r="Q11" s="16" t="n"/>
    </row>
    <row r="12" ht="21" customHeight="1">
      <c r="A12" s="21" t="n">
        <v>6</v>
      </c>
      <c r="B12" s="22" t="n"/>
      <c r="C12" s="22" t="n"/>
      <c r="D12" s="22" t="n"/>
      <c r="E12" s="22" t="n"/>
      <c r="F12" s="23" t="n"/>
      <c r="G12" s="22" t="n"/>
      <c r="H12" s="24" t="n"/>
      <c r="I12" s="25" t="n"/>
      <c r="J12" s="25" t="n"/>
      <c r="K12" s="26" t="n"/>
      <c r="L12" s="22" t="n"/>
      <c r="M12" s="22" t="n"/>
      <c r="N12" s="24" t="n"/>
      <c r="O12" s="19">
        <f>IFERROR(IF(N12="","",IF(MAX(IFERROR(INDEX(Tarifas!$B$3:$F$65,MATCH(K12,Tarifas!$A$3:$A$65,0),MATCH(N12,Tarifas!$B$2:$F$2,0)),0),IFERROR(INDEX(Tarifas!$B$3:$F$65,MATCH(L12,Tarifas!$A$3:$A$65,0),MATCH(N12,Tarifas!$B$2:$F$2,0)),0),IFERROR(INDEX(Tarifas!$B$3:$F$65,MATCH(M12,Tarifas!$A$3:$A$65,0),MATCH(N12,Tarifas!$B$2:$F$2,0)),0))=0,"",MAX(IFERROR(INDEX(Tarifas!$B$3:$F$65,MATCH(K12,Tarifas!$A$3:$A$65,0),MATCH(N12,Tarifas!$B$2:$F$2,0)),0),IFERROR(INDEX(Tarifas!$B$3:$F$65,MATCH(L12,Tarifas!$A$3:$A$65,0),MATCH(N12,Tarifas!$B$2:$F$2,0)),0),IFERROR(INDEX(Tarifas!$B$3:$F$65,MATCH(M12,Tarifas!$A$3:$A$65,0),MATCH(N12,Tarifas!$B$2:$F$2,0)),0)))),"")</f>
        <v/>
      </c>
      <c r="P12" s="27">
        <f>IF(NOT(OR(B12&lt;&gt;"",C12&lt;&gt;"",D12&lt;&gt;"",E12&lt;&gt;"",F12&lt;&gt;"",G12&lt;&gt;"",H12&lt;&gt;"",I12&lt;&gt;"",J12&lt;&gt;"",K12&lt;&gt;"",N12&lt;&gt;"")),"",IF(AND(B12&lt;&gt;"",C12&lt;&gt;"",D12&lt;&gt;"",E12&lt;&gt;"",F12&lt;&gt;"",G12&lt;&gt;"",H12&lt;&gt;"",I12&lt;&gt;"",J12&lt;&gt;"",K12&lt;&gt;"",N12&lt;&gt;""),"✓ Completo","⚠ Faltan datos"))</f>
        <v/>
      </c>
      <c r="Q12" s="24" t="n"/>
    </row>
    <row r="13" ht="21" customHeight="1">
      <c r="A13" s="13" t="n">
        <v>7</v>
      </c>
      <c r="B13" s="14" t="n"/>
      <c r="C13" s="14" t="n"/>
      <c r="D13" s="14" t="n"/>
      <c r="E13" s="14" t="n"/>
      <c r="F13" s="15" t="n"/>
      <c r="G13" s="14" t="n"/>
      <c r="H13" s="16" t="n"/>
      <c r="I13" s="17" t="n"/>
      <c r="J13" s="17" t="n"/>
      <c r="K13" s="18" t="n"/>
      <c r="L13" s="14" t="n"/>
      <c r="M13" s="14" t="n"/>
      <c r="N13" s="16" t="n"/>
      <c r="O13" s="19">
        <f>IFERROR(IF(N13="","",IF(MAX(IFERROR(INDEX(Tarifas!$B$3:$F$65,MATCH(K13,Tarifas!$A$3:$A$65,0),MATCH(N13,Tarifas!$B$2:$F$2,0)),0),IFERROR(INDEX(Tarifas!$B$3:$F$65,MATCH(L13,Tarifas!$A$3:$A$65,0),MATCH(N13,Tarifas!$B$2:$F$2,0)),0),IFERROR(INDEX(Tarifas!$B$3:$F$65,MATCH(M13,Tarifas!$A$3:$A$65,0),MATCH(N13,Tarifas!$B$2:$F$2,0)),0))=0,"",MAX(IFERROR(INDEX(Tarifas!$B$3:$F$65,MATCH(K13,Tarifas!$A$3:$A$65,0),MATCH(N13,Tarifas!$B$2:$F$2,0)),0),IFERROR(INDEX(Tarifas!$B$3:$F$65,MATCH(L13,Tarifas!$A$3:$A$65,0),MATCH(N13,Tarifas!$B$2:$F$2,0)),0),IFERROR(INDEX(Tarifas!$B$3:$F$65,MATCH(M13,Tarifas!$A$3:$A$65,0),MATCH(N13,Tarifas!$B$2:$F$2,0)),0)))),"")</f>
        <v/>
      </c>
      <c r="P13" s="20">
        <f>IF(NOT(OR(B13&lt;&gt;"",C13&lt;&gt;"",D13&lt;&gt;"",E13&lt;&gt;"",F13&lt;&gt;"",G13&lt;&gt;"",H13&lt;&gt;"",I13&lt;&gt;"",J13&lt;&gt;"",K13&lt;&gt;"",N13&lt;&gt;"")),"",IF(AND(B13&lt;&gt;"",C13&lt;&gt;"",D13&lt;&gt;"",E13&lt;&gt;"",F13&lt;&gt;"",G13&lt;&gt;"",H13&lt;&gt;"",I13&lt;&gt;"",J13&lt;&gt;"",K13&lt;&gt;"",N13&lt;&gt;""),"✓ Completo","⚠ Faltan datos"))</f>
        <v/>
      </c>
      <c r="Q13" s="16" t="n"/>
    </row>
    <row r="14" ht="21" customHeight="1">
      <c r="A14" s="21" t="n">
        <v>8</v>
      </c>
      <c r="B14" s="22" t="n"/>
      <c r="C14" s="22" t="n"/>
      <c r="D14" s="22" t="n"/>
      <c r="E14" s="22" t="n"/>
      <c r="F14" s="23" t="n"/>
      <c r="G14" s="22" t="n"/>
      <c r="H14" s="24" t="n"/>
      <c r="I14" s="25" t="n"/>
      <c r="J14" s="25" t="n"/>
      <c r="K14" s="26" t="n"/>
      <c r="L14" s="22" t="n"/>
      <c r="M14" s="22" t="n"/>
      <c r="N14" s="24" t="n"/>
      <c r="O14" s="19">
        <f>IFERROR(IF(N14="","",IF(MAX(IFERROR(INDEX(Tarifas!$B$3:$F$65,MATCH(K14,Tarifas!$A$3:$A$65,0),MATCH(N14,Tarifas!$B$2:$F$2,0)),0),IFERROR(INDEX(Tarifas!$B$3:$F$65,MATCH(L14,Tarifas!$A$3:$A$65,0),MATCH(N14,Tarifas!$B$2:$F$2,0)),0),IFERROR(INDEX(Tarifas!$B$3:$F$65,MATCH(M14,Tarifas!$A$3:$A$65,0),MATCH(N14,Tarifas!$B$2:$F$2,0)),0))=0,"",MAX(IFERROR(INDEX(Tarifas!$B$3:$F$65,MATCH(K14,Tarifas!$A$3:$A$65,0),MATCH(N14,Tarifas!$B$2:$F$2,0)),0),IFERROR(INDEX(Tarifas!$B$3:$F$65,MATCH(L14,Tarifas!$A$3:$A$65,0),MATCH(N14,Tarifas!$B$2:$F$2,0)),0),IFERROR(INDEX(Tarifas!$B$3:$F$65,MATCH(M14,Tarifas!$A$3:$A$65,0),MATCH(N14,Tarifas!$B$2:$F$2,0)),0)))),"")</f>
        <v/>
      </c>
      <c r="P14" s="27">
        <f>IF(NOT(OR(B14&lt;&gt;"",C14&lt;&gt;"",D14&lt;&gt;"",E14&lt;&gt;"",F14&lt;&gt;"",G14&lt;&gt;"",H14&lt;&gt;"",I14&lt;&gt;"",J14&lt;&gt;"",K14&lt;&gt;"",N14&lt;&gt;"")),"",IF(AND(B14&lt;&gt;"",C14&lt;&gt;"",D14&lt;&gt;"",E14&lt;&gt;"",F14&lt;&gt;"",G14&lt;&gt;"",H14&lt;&gt;"",I14&lt;&gt;"",J14&lt;&gt;"",K14&lt;&gt;"",N14&lt;&gt;""),"✓ Completo","⚠ Faltan datos"))</f>
        <v/>
      </c>
      <c r="Q14" s="24" t="n"/>
    </row>
    <row r="15" ht="21" customHeight="1">
      <c r="A15" s="13" t="n">
        <v>9</v>
      </c>
      <c r="B15" s="14" t="n"/>
      <c r="C15" s="14" t="n"/>
      <c r="D15" s="14" t="n"/>
      <c r="E15" s="14" t="n"/>
      <c r="F15" s="15" t="n"/>
      <c r="G15" s="14" t="n"/>
      <c r="H15" s="16" t="n"/>
      <c r="I15" s="17" t="n"/>
      <c r="J15" s="17" t="n"/>
      <c r="K15" s="18" t="n"/>
      <c r="L15" s="14" t="n"/>
      <c r="M15" s="14" t="n"/>
      <c r="N15" s="16" t="n"/>
      <c r="O15" s="19">
        <f>IFERROR(IF(N15="","",IF(MAX(IFERROR(INDEX(Tarifas!$B$3:$F$65,MATCH(K15,Tarifas!$A$3:$A$65,0),MATCH(N15,Tarifas!$B$2:$F$2,0)),0),IFERROR(INDEX(Tarifas!$B$3:$F$65,MATCH(L15,Tarifas!$A$3:$A$65,0),MATCH(N15,Tarifas!$B$2:$F$2,0)),0),IFERROR(INDEX(Tarifas!$B$3:$F$65,MATCH(M15,Tarifas!$A$3:$A$65,0),MATCH(N15,Tarifas!$B$2:$F$2,0)),0))=0,"",MAX(IFERROR(INDEX(Tarifas!$B$3:$F$65,MATCH(K15,Tarifas!$A$3:$A$65,0),MATCH(N15,Tarifas!$B$2:$F$2,0)),0),IFERROR(INDEX(Tarifas!$B$3:$F$65,MATCH(L15,Tarifas!$A$3:$A$65,0),MATCH(N15,Tarifas!$B$2:$F$2,0)),0),IFERROR(INDEX(Tarifas!$B$3:$F$65,MATCH(M15,Tarifas!$A$3:$A$65,0),MATCH(N15,Tarifas!$B$2:$F$2,0)),0)))),"")</f>
        <v/>
      </c>
      <c r="P15" s="20">
        <f>IF(NOT(OR(B15&lt;&gt;"",C15&lt;&gt;"",D15&lt;&gt;"",E15&lt;&gt;"",F15&lt;&gt;"",G15&lt;&gt;"",H15&lt;&gt;"",I15&lt;&gt;"",J15&lt;&gt;"",K15&lt;&gt;"",N15&lt;&gt;"")),"",IF(AND(B15&lt;&gt;"",C15&lt;&gt;"",D15&lt;&gt;"",E15&lt;&gt;"",F15&lt;&gt;"",G15&lt;&gt;"",H15&lt;&gt;"",I15&lt;&gt;"",J15&lt;&gt;"",K15&lt;&gt;"",N15&lt;&gt;""),"✓ Completo","⚠ Faltan datos"))</f>
        <v/>
      </c>
      <c r="Q15" s="16" t="n"/>
    </row>
    <row r="16" ht="21" customHeight="1">
      <c r="A16" s="21" t="n">
        <v>10</v>
      </c>
      <c r="B16" s="22" t="n"/>
      <c r="C16" s="22" t="n"/>
      <c r="D16" s="22" t="n"/>
      <c r="E16" s="22" t="n"/>
      <c r="F16" s="23" t="n"/>
      <c r="G16" s="22" t="n"/>
      <c r="H16" s="24" t="n"/>
      <c r="I16" s="25" t="n"/>
      <c r="J16" s="25" t="n"/>
      <c r="K16" s="26" t="n"/>
      <c r="L16" s="22" t="n"/>
      <c r="M16" s="22" t="n"/>
      <c r="N16" s="24" t="n"/>
      <c r="O16" s="19">
        <f>IFERROR(IF(N16="","",IF(MAX(IFERROR(INDEX(Tarifas!$B$3:$F$65,MATCH(K16,Tarifas!$A$3:$A$65,0),MATCH(N16,Tarifas!$B$2:$F$2,0)),0),IFERROR(INDEX(Tarifas!$B$3:$F$65,MATCH(L16,Tarifas!$A$3:$A$65,0),MATCH(N16,Tarifas!$B$2:$F$2,0)),0),IFERROR(INDEX(Tarifas!$B$3:$F$65,MATCH(M16,Tarifas!$A$3:$A$65,0),MATCH(N16,Tarifas!$B$2:$F$2,0)),0))=0,"",MAX(IFERROR(INDEX(Tarifas!$B$3:$F$65,MATCH(K16,Tarifas!$A$3:$A$65,0),MATCH(N16,Tarifas!$B$2:$F$2,0)),0),IFERROR(INDEX(Tarifas!$B$3:$F$65,MATCH(L16,Tarifas!$A$3:$A$65,0),MATCH(N16,Tarifas!$B$2:$F$2,0)),0),IFERROR(INDEX(Tarifas!$B$3:$F$65,MATCH(M16,Tarifas!$A$3:$A$65,0),MATCH(N16,Tarifas!$B$2:$F$2,0)),0)))),"")</f>
        <v/>
      </c>
      <c r="P16" s="27">
        <f>IF(NOT(OR(B16&lt;&gt;"",C16&lt;&gt;"",D16&lt;&gt;"",E16&lt;&gt;"",F16&lt;&gt;"",G16&lt;&gt;"",H16&lt;&gt;"",I16&lt;&gt;"",J16&lt;&gt;"",K16&lt;&gt;"",N16&lt;&gt;"")),"",IF(AND(B16&lt;&gt;"",C16&lt;&gt;"",D16&lt;&gt;"",E16&lt;&gt;"",F16&lt;&gt;"",G16&lt;&gt;"",H16&lt;&gt;"",I16&lt;&gt;"",J16&lt;&gt;"",K16&lt;&gt;"",N16&lt;&gt;""),"✓ Completo","⚠ Faltan datos"))</f>
        <v/>
      </c>
      <c r="Q16" s="24" t="n"/>
    </row>
    <row r="17" ht="21" customHeight="1">
      <c r="A17" s="13" t="n">
        <v>11</v>
      </c>
      <c r="B17" s="14" t="n"/>
      <c r="C17" s="14" t="n"/>
      <c r="D17" s="14" t="n"/>
      <c r="E17" s="14" t="n"/>
      <c r="F17" s="15" t="n"/>
      <c r="G17" s="14" t="n"/>
      <c r="H17" s="16" t="n"/>
      <c r="I17" s="17" t="n"/>
      <c r="J17" s="17" t="n"/>
      <c r="K17" s="18" t="n"/>
      <c r="L17" s="14" t="n"/>
      <c r="M17" s="14" t="n"/>
      <c r="N17" s="16" t="n"/>
      <c r="O17" s="19">
        <f>IFERROR(IF(N17="","",IF(MAX(IFERROR(INDEX(Tarifas!$B$3:$F$65,MATCH(K17,Tarifas!$A$3:$A$65,0),MATCH(N17,Tarifas!$B$2:$F$2,0)),0),IFERROR(INDEX(Tarifas!$B$3:$F$65,MATCH(L17,Tarifas!$A$3:$A$65,0),MATCH(N17,Tarifas!$B$2:$F$2,0)),0),IFERROR(INDEX(Tarifas!$B$3:$F$65,MATCH(M17,Tarifas!$A$3:$A$65,0),MATCH(N17,Tarifas!$B$2:$F$2,0)),0))=0,"",MAX(IFERROR(INDEX(Tarifas!$B$3:$F$65,MATCH(K17,Tarifas!$A$3:$A$65,0),MATCH(N17,Tarifas!$B$2:$F$2,0)),0),IFERROR(INDEX(Tarifas!$B$3:$F$65,MATCH(L17,Tarifas!$A$3:$A$65,0),MATCH(N17,Tarifas!$B$2:$F$2,0)),0),IFERROR(INDEX(Tarifas!$B$3:$F$65,MATCH(M17,Tarifas!$A$3:$A$65,0),MATCH(N17,Tarifas!$B$2:$F$2,0)),0)))),"")</f>
        <v/>
      </c>
      <c r="P17" s="20">
        <f>IF(NOT(OR(B17&lt;&gt;"",C17&lt;&gt;"",D17&lt;&gt;"",E17&lt;&gt;"",F17&lt;&gt;"",G17&lt;&gt;"",H17&lt;&gt;"",I17&lt;&gt;"",J17&lt;&gt;"",K17&lt;&gt;"",N17&lt;&gt;"")),"",IF(AND(B17&lt;&gt;"",C17&lt;&gt;"",D17&lt;&gt;"",E17&lt;&gt;"",F17&lt;&gt;"",G17&lt;&gt;"",H17&lt;&gt;"",I17&lt;&gt;"",J17&lt;&gt;"",K17&lt;&gt;"",N17&lt;&gt;""),"✓ Completo","⚠ Faltan datos"))</f>
        <v/>
      </c>
      <c r="Q17" s="16" t="n"/>
    </row>
    <row r="18" ht="21" customHeight="1">
      <c r="A18" s="21" t="n">
        <v>12</v>
      </c>
      <c r="B18" s="22" t="n"/>
      <c r="C18" s="22" t="n"/>
      <c r="D18" s="22" t="n"/>
      <c r="E18" s="22" t="n"/>
      <c r="F18" s="23" t="n"/>
      <c r="G18" s="22" t="n"/>
      <c r="H18" s="24" t="n"/>
      <c r="I18" s="25" t="n"/>
      <c r="J18" s="25" t="n"/>
      <c r="K18" s="26" t="n"/>
      <c r="L18" s="22" t="n"/>
      <c r="M18" s="22" t="n"/>
      <c r="N18" s="24" t="n"/>
      <c r="O18" s="19">
        <f>IFERROR(IF(N18="","",IF(MAX(IFERROR(INDEX(Tarifas!$B$3:$F$65,MATCH(K18,Tarifas!$A$3:$A$65,0),MATCH(N18,Tarifas!$B$2:$F$2,0)),0),IFERROR(INDEX(Tarifas!$B$3:$F$65,MATCH(L18,Tarifas!$A$3:$A$65,0),MATCH(N18,Tarifas!$B$2:$F$2,0)),0),IFERROR(INDEX(Tarifas!$B$3:$F$65,MATCH(M18,Tarifas!$A$3:$A$65,0),MATCH(N18,Tarifas!$B$2:$F$2,0)),0))=0,"",MAX(IFERROR(INDEX(Tarifas!$B$3:$F$65,MATCH(K18,Tarifas!$A$3:$A$65,0),MATCH(N18,Tarifas!$B$2:$F$2,0)),0),IFERROR(INDEX(Tarifas!$B$3:$F$65,MATCH(L18,Tarifas!$A$3:$A$65,0),MATCH(N18,Tarifas!$B$2:$F$2,0)),0),IFERROR(INDEX(Tarifas!$B$3:$F$65,MATCH(M18,Tarifas!$A$3:$A$65,0),MATCH(N18,Tarifas!$B$2:$F$2,0)),0)))),"")</f>
        <v/>
      </c>
      <c r="P18" s="27">
        <f>IF(NOT(OR(B18&lt;&gt;"",C18&lt;&gt;"",D18&lt;&gt;"",E18&lt;&gt;"",F18&lt;&gt;"",G18&lt;&gt;"",H18&lt;&gt;"",I18&lt;&gt;"",J18&lt;&gt;"",K18&lt;&gt;"",N18&lt;&gt;"")),"",IF(AND(B18&lt;&gt;"",C18&lt;&gt;"",D18&lt;&gt;"",E18&lt;&gt;"",F18&lt;&gt;"",G18&lt;&gt;"",H18&lt;&gt;"",I18&lt;&gt;"",J18&lt;&gt;"",K18&lt;&gt;"",N18&lt;&gt;""),"✓ Completo","⚠ Faltan datos"))</f>
        <v/>
      </c>
      <c r="Q18" s="24" t="n"/>
    </row>
    <row r="19" ht="21" customHeight="1">
      <c r="A19" s="13" t="n">
        <v>13</v>
      </c>
      <c r="B19" s="14" t="n"/>
      <c r="C19" s="14" t="n"/>
      <c r="D19" s="14" t="n"/>
      <c r="E19" s="14" t="n"/>
      <c r="F19" s="15" t="n"/>
      <c r="G19" s="14" t="n"/>
      <c r="H19" s="16" t="n"/>
      <c r="I19" s="17" t="n"/>
      <c r="J19" s="17" t="n"/>
      <c r="K19" s="18" t="n"/>
      <c r="L19" s="14" t="n"/>
      <c r="M19" s="14" t="n"/>
      <c r="N19" s="16" t="n"/>
      <c r="O19" s="19">
        <f>IFERROR(IF(N19="","",IF(MAX(IFERROR(INDEX(Tarifas!$B$3:$F$65,MATCH(K19,Tarifas!$A$3:$A$65,0),MATCH(N19,Tarifas!$B$2:$F$2,0)),0),IFERROR(INDEX(Tarifas!$B$3:$F$65,MATCH(L19,Tarifas!$A$3:$A$65,0),MATCH(N19,Tarifas!$B$2:$F$2,0)),0),IFERROR(INDEX(Tarifas!$B$3:$F$65,MATCH(M19,Tarifas!$A$3:$A$65,0),MATCH(N19,Tarifas!$B$2:$F$2,0)),0))=0,"",MAX(IFERROR(INDEX(Tarifas!$B$3:$F$65,MATCH(K19,Tarifas!$A$3:$A$65,0),MATCH(N19,Tarifas!$B$2:$F$2,0)),0),IFERROR(INDEX(Tarifas!$B$3:$F$65,MATCH(L19,Tarifas!$A$3:$A$65,0),MATCH(N19,Tarifas!$B$2:$F$2,0)),0),IFERROR(INDEX(Tarifas!$B$3:$F$65,MATCH(M19,Tarifas!$A$3:$A$65,0),MATCH(N19,Tarifas!$B$2:$F$2,0)),0)))),"")</f>
        <v/>
      </c>
      <c r="P19" s="20">
        <f>IF(NOT(OR(B19&lt;&gt;"",C19&lt;&gt;"",D19&lt;&gt;"",E19&lt;&gt;"",F19&lt;&gt;"",G19&lt;&gt;"",H19&lt;&gt;"",I19&lt;&gt;"",J19&lt;&gt;"",K19&lt;&gt;"",N19&lt;&gt;"")),"",IF(AND(B19&lt;&gt;"",C19&lt;&gt;"",D19&lt;&gt;"",E19&lt;&gt;"",F19&lt;&gt;"",G19&lt;&gt;"",H19&lt;&gt;"",I19&lt;&gt;"",J19&lt;&gt;"",K19&lt;&gt;"",N19&lt;&gt;""),"✓ Completo","⚠ Faltan datos"))</f>
        <v/>
      </c>
      <c r="Q19" s="16" t="n"/>
    </row>
    <row r="20" ht="21" customHeight="1">
      <c r="A20" s="21" t="n">
        <v>14</v>
      </c>
      <c r="B20" s="22" t="n"/>
      <c r="C20" s="22" t="n"/>
      <c r="D20" s="22" t="n"/>
      <c r="E20" s="22" t="n"/>
      <c r="F20" s="23" t="n"/>
      <c r="G20" s="22" t="n"/>
      <c r="H20" s="24" t="n"/>
      <c r="I20" s="25" t="n"/>
      <c r="J20" s="25" t="n"/>
      <c r="K20" s="26" t="n"/>
      <c r="L20" s="22" t="n"/>
      <c r="M20" s="22" t="n"/>
      <c r="N20" s="24" t="n"/>
      <c r="O20" s="19">
        <f>IFERROR(IF(N20="","",IF(MAX(IFERROR(INDEX(Tarifas!$B$3:$F$65,MATCH(K20,Tarifas!$A$3:$A$65,0),MATCH(N20,Tarifas!$B$2:$F$2,0)),0),IFERROR(INDEX(Tarifas!$B$3:$F$65,MATCH(L20,Tarifas!$A$3:$A$65,0),MATCH(N20,Tarifas!$B$2:$F$2,0)),0),IFERROR(INDEX(Tarifas!$B$3:$F$65,MATCH(M20,Tarifas!$A$3:$A$65,0),MATCH(N20,Tarifas!$B$2:$F$2,0)),0))=0,"",MAX(IFERROR(INDEX(Tarifas!$B$3:$F$65,MATCH(K20,Tarifas!$A$3:$A$65,0),MATCH(N20,Tarifas!$B$2:$F$2,0)),0),IFERROR(INDEX(Tarifas!$B$3:$F$65,MATCH(L20,Tarifas!$A$3:$A$65,0),MATCH(N20,Tarifas!$B$2:$F$2,0)),0),IFERROR(INDEX(Tarifas!$B$3:$F$65,MATCH(M20,Tarifas!$A$3:$A$65,0),MATCH(N20,Tarifas!$B$2:$F$2,0)),0)))),"")</f>
        <v/>
      </c>
      <c r="P20" s="27">
        <f>IF(NOT(OR(B20&lt;&gt;"",C20&lt;&gt;"",D20&lt;&gt;"",E20&lt;&gt;"",F20&lt;&gt;"",G20&lt;&gt;"",H20&lt;&gt;"",I20&lt;&gt;"",J20&lt;&gt;"",K20&lt;&gt;"",N20&lt;&gt;"")),"",IF(AND(B20&lt;&gt;"",C20&lt;&gt;"",D20&lt;&gt;"",E20&lt;&gt;"",F20&lt;&gt;"",G20&lt;&gt;"",H20&lt;&gt;"",I20&lt;&gt;"",J20&lt;&gt;"",K20&lt;&gt;"",N20&lt;&gt;""),"✓ Completo","⚠ Faltan datos"))</f>
        <v/>
      </c>
      <c r="Q20" s="24" t="n"/>
    </row>
    <row r="21" ht="21" customHeight="1">
      <c r="A21" s="13" t="n">
        <v>15</v>
      </c>
      <c r="B21" s="14" t="n"/>
      <c r="C21" s="14" t="n"/>
      <c r="D21" s="14" t="n"/>
      <c r="E21" s="14" t="n"/>
      <c r="F21" s="15" t="n"/>
      <c r="G21" s="14" t="n"/>
      <c r="H21" s="16" t="n"/>
      <c r="I21" s="17" t="n"/>
      <c r="J21" s="17" t="n"/>
      <c r="K21" s="18" t="n"/>
      <c r="L21" s="14" t="n"/>
      <c r="M21" s="14" t="n"/>
      <c r="N21" s="16" t="n"/>
      <c r="O21" s="19">
        <f>IFERROR(IF(N21="","",IF(MAX(IFERROR(INDEX(Tarifas!$B$3:$F$65,MATCH(K21,Tarifas!$A$3:$A$65,0),MATCH(N21,Tarifas!$B$2:$F$2,0)),0),IFERROR(INDEX(Tarifas!$B$3:$F$65,MATCH(L21,Tarifas!$A$3:$A$65,0),MATCH(N21,Tarifas!$B$2:$F$2,0)),0),IFERROR(INDEX(Tarifas!$B$3:$F$65,MATCH(M21,Tarifas!$A$3:$A$65,0),MATCH(N21,Tarifas!$B$2:$F$2,0)),0))=0,"",MAX(IFERROR(INDEX(Tarifas!$B$3:$F$65,MATCH(K21,Tarifas!$A$3:$A$65,0),MATCH(N21,Tarifas!$B$2:$F$2,0)),0),IFERROR(INDEX(Tarifas!$B$3:$F$65,MATCH(L21,Tarifas!$A$3:$A$65,0),MATCH(N21,Tarifas!$B$2:$F$2,0)),0),IFERROR(INDEX(Tarifas!$B$3:$F$65,MATCH(M21,Tarifas!$A$3:$A$65,0),MATCH(N21,Tarifas!$B$2:$F$2,0)),0)))),"")</f>
        <v/>
      </c>
      <c r="P21" s="20">
        <f>IF(NOT(OR(B21&lt;&gt;"",C21&lt;&gt;"",D21&lt;&gt;"",E21&lt;&gt;"",F21&lt;&gt;"",G21&lt;&gt;"",H21&lt;&gt;"",I21&lt;&gt;"",J21&lt;&gt;"",K21&lt;&gt;"",N21&lt;&gt;"")),"",IF(AND(B21&lt;&gt;"",C21&lt;&gt;"",D21&lt;&gt;"",E21&lt;&gt;"",F21&lt;&gt;"",G21&lt;&gt;"",H21&lt;&gt;"",I21&lt;&gt;"",J21&lt;&gt;"",K21&lt;&gt;"",N21&lt;&gt;""),"✓ Completo","⚠ Faltan datos"))</f>
        <v/>
      </c>
      <c r="Q21" s="16" t="n"/>
    </row>
    <row r="22" ht="21" customHeight="1">
      <c r="A22" s="21" t="n">
        <v>16</v>
      </c>
      <c r="B22" s="22" t="n"/>
      <c r="C22" s="22" t="n"/>
      <c r="D22" s="22" t="n"/>
      <c r="E22" s="22" t="n"/>
      <c r="F22" s="23" t="n"/>
      <c r="G22" s="22" t="n"/>
      <c r="H22" s="24" t="n"/>
      <c r="I22" s="25" t="n"/>
      <c r="J22" s="25" t="n"/>
      <c r="K22" s="26" t="n"/>
      <c r="L22" s="22" t="n"/>
      <c r="M22" s="22" t="n"/>
      <c r="N22" s="24" t="n"/>
      <c r="O22" s="19">
        <f>IFERROR(IF(N22="","",IF(MAX(IFERROR(INDEX(Tarifas!$B$3:$F$65,MATCH(K22,Tarifas!$A$3:$A$65,0),MATCH(N22,Tarifas!$B$2:$F$2,0)),0),IFERROR(INDEX(Tarifas!$B$3:$F$65,MATCH(L22,Tarifas!$A$3:$A$65,0),MATCH(N22,Tarifas!$B$2:$F$2,0)),0),IFERROR(INDEX(Tarifas!$B$3:$F$65,MATCH(M22,Tarifas!$A$3:$A$65,0),MATCH(N22,Tarifas!$B$2:$F$2,0)),0))=0,"",MAX(IFERROR(INDEX(Tarifas!$B$3:$F$65,MATCH(K22,Tarifas!$A$3:$A$65,0),MATCH(N22,Tarifas!$B$2:$F$2,0)),0),IFERROR(INDEX(Tarifas!$B$3:$F$65,MATCH(L22,Tarifas!$A$3:$A$65,0),MATCH(N22,Tarifas!$B$2:$F$2,0)),0),IFERROR(INDEX(Tarifas!$B$3:$F$65,MATCH(M22,Tarifas!$A$3:$A$65,0),MATCH(N22,Tarifas!$B$2:$F$2,0)),0)))),"")</f>
        <v/>
      </c>
      <c r="P22" s="27">
        <f>IF(NOT(OR(B22&lt;&gt;"",C22&lt;&gt;"",D22&lt;&gt;"",E22&lt;&gt;"",F22&lt;&gt;"",G22&lt;&gt;"",H22&lt;&gt;"",I22&lt;&gt;"",J22&lt;&gt;"",K22&lt;&gt;"",N22&lt;&gt;"")),"",IF(AND(B22&lt;&gt;"",C22&lt;&gt;"",D22&lt;&gt;"",E22&lt;&gt;"",F22&lt;&gt;"",G22&lt;&gt;"",H22&lt;&gt;"",I22&lt;&gt;"",J22&lt;&gt;"",K22&lt;&gt;"",N22&lt;&gt;""),"✓ Completo","⚠ Faltan datos"))</f>
        <v/>
      </c>
      <c r="Q22" s="24" t="n"/>
    </row>
    <row r="23" ht="21" customHeight="1">
      <c r="A23" s="13" t="n">
        <v>17</v>
      </c>
      <c r="B23" s="14" t="n"/>
      <c r="C23" s="14" t="n"/>
      <c r="D23" s="14" t="n"/>
      <c r="E23" s="14" t="n"/>
      <c r="F23" s="15" t="n"/>
      <c r="G23" s="14" t="n"/>
      <c r="H23" s="16" t="n"/>
      <c r="I23" s="17" t="n"/>
      <c r="J23" s="17" t="n"/>
      <c r="K23" s="18" t="n"/>
      <c r="L23" s="14" t="n"/>
      <c r="M23" s="14" t="n"/>
      <c r="N23" s="16" t="n"/>
      <c r="O23" s="19">
        <f>IFERROR(IF(N23="","",IF(MAX(IFERROR(INDEX(Tarifas!$B$3:$F$65,MATCH(K23,Tarifas!$A$3:$A$65,0),MATCH(N23,Tarifas!$B$2:$F$2,0)),0),IFERROR(INDEX(Tarifas!$B$3:$F$65,MATCH(L23,Tarifas!$A$3:$A$65,0),MATCH(N23,Tarifas!$B$2:$F$2,0)),0),IFERROR(INDEX(Tarifas!$B$3:$F$65,MATCH(M23,Tarifas!$A$3:$A$65,0),MATCH(N23,Tarifas!$B$2:$F$2,0)),0))=0,"",MAX(IFERROR(INDEX(Tarifas!$B$3:$F$65,MATCH(K23,Tarifas!$A$3:$A$65,0),MATCH(N23,Tarifas!$B$2:$F$2,0)),0),IFERROR(INDEX(Tarifas!$B$3:$F$65,MATCH(L23,Tarifas!$A$3:$A$65,0),MATCH(N23,Tarifas!$B$2:$F$2,0)),0),IFERROR(INDEX(Tarifas!$B$3:$F$65,MATCH(M23,Tarifas!$A$3:$A$65,0),MATCH(N23,Tarifas!$B$2:$F$2,0)),0)))),"")</f>
        <v/>
      </c>
      <c r="P23" s="20">
        <f>IF(NOT(OR(B23&lt;&gt;"",C23&lt;&gt;"",D23&lt;&gt;"",E23&lt;&gt;"",F23&lt;&gt;"",G23&lt;&gt;"",H23&lt;&gt;"",I23&lt;&gt;"",J23&lt;&gt;"",K23&lt;&gt;"",N23&lt;&gt;"")),"",IF(AND(B23&lt;&gt;"",C23&lt;&gt;"",D23&lt;&gt;"",E23&lt;&gt;"",F23&lt;&gt;"",G23&lt;&gt;"",H23&lt;&gt;"",I23&lt;&gt;"",J23&lt;&gt;"",K23&lt;&gt;"",N23&lt;&gt;""),"✓ Completo","⚠ Faltan datos"))</f>
        <v/>
      </c>
      <c r="Q23" s="16" t="n"/>
    </row>
    <row r="24" ht="21" customHeight="1">
      <c r="A24" s="21" t="n">
        <v>18</v>
      </c>
      <c r="B24" s="22" t="n"/>
      <c r="C24" s="22" t="n"/>
      <c r="D24" s="22" t="n"/>
      <c r="E24" s="22" t="n"/>
      <c r="F24" s="23" t="n"/>
      <c r="G24" s="22" t="n"/>
      <c r="H24" s="24" t="n"/>
      <c r="I24" s="25" t="n"/>
      <c r="J24" s="25" t="n"/>
      <c r="K24" s="26" t="n"/>
      <c r="L24" s="22" t="n"/>
      <c r="M24" s="22" t="n"/>
      <c r="N24" s="24" t="n"/>
      <c r="O24" s="19">
        <f>IFERROR(IF(N24="","",IF(MAX(IFERROR(INDEX(Tarifas!$B$3:$F$65,MATCH(K24,Tarifas!$A$3:$A$65,0),MATCH(N24,Tarifas!$B$2:$F$2,0)),0),IFERROR(INDEX(Tarifas!$B$3:$F$65,MATCH(L24,Tarifas!$A$3:$A$65,0),MATCH(N24,Tarifas!$B$2:$F$2,0)),0),IFERROR(INDEX(Tarifas!$B$3:$F$65,MATCH(M24,Tarifas!$A$3:$A$65,0),MATCH(N24,Tarifas!$B$2:$F$2,0)),0))=0,"",MAX(IFERROR(INDEX(Tarifas!$B$3:$F$65,MATCH(K24,Tarifas!$A$3:$A$65,0),MATCH(N24,Tarifas!$B$2:$F$2,0)),0),IFERROR(INDEX(Tarifas!$B$3:$F$65,MATCH(L24,Tarifas!$A$3:$A$65,0),MATCH(N24,Tarifas!$B$2:$F$2,0)),0),IFERROR(INDEX(Tarifas!$B$3:$F$65,MATCH(M24,Tarifas!$A$3:$A$65,0),MATCH(N24,Tarifas!$B$2:$F$2,0)),0)))),"")</f>
        <v/>
      </c>
      <c r="P24" s="27">
        <f>IF(NOT(OR(B24&lt;&gt;"",C24&lt;&gt;"",D24&lt;&gt;"",E24&lt;&gt;"",F24&lt;&gt;"",G24&lt;&gt;"",H24&lt;&gt;"",I24&lt;&gt;"",J24&lt;&gt;"",K24&lt;&gt;"",N24&lt;&gt;"")),"",IF(AND(B24&lt;&gt;"",C24&lt;&gt;"",D24&lt;&gt;"",E24&lt;&gt;"",F24&lt;&gt;"",G24&lt;&gt;"",H24&lt;&gt;"",I24&lt;&gt;"",J24&lt;&gt;"",K24&lt;&gt;"",N24&lt;&gt;""),"✓ Completo","⚠ Faltan datos"))</f>
        <v/>
      </c>
      <c r="Q24" s="24" t="n"/>
    </row>
    <row r="25" ht="21" customHeight="1">
      <c r="A25" s="13" t="n">
        <v>19</v>
      </c>
      <c r="B25" s="14" t="n"/>
      <c r="C25" s="14" t="n"/>
      <c r="D25" s="14" t="n"/>
      <c r="E25" s="14" t="n"/>
      <c r="F25" s="15" t="n"/>
      <c r="G25" s="14" t="n"/>
      <c r="H25" s="16" t="n"/>
      <c r="I25" s="17" t="n"/>
      <c r="J25" s="17" t="n"/>
      <c r="K25" s="18" t="n"/>
      <c r="L25" s="14" t="n"/>
      <c r="M25" s="14" t="n"/>
      <c r="N25" s="16" t="n"/>
      <c r="O25" s="19">
        <f>IFERROR(IF(N25="","",IF(MAX(IFERROR(INDEX(Tarifas!$B$3:$F$65,MATCH(K25,Tarifas!$A$3:$A$65,0),MATCH(N25,Tarifas!$B$2:$F$2,0)),0),IFERROR(INDEX(Tarifas!$B$3:$F$65,MATCH(L25,Tarifas!$A$3:$A$65,0),MATCH(N25,Tarifas!$B$2:$F$2,0)),0),IFERROR(INDEX(Tarifas!$B$3:$F$65,MATCH(M25,Tarifas!$A$3:$A$65,0),MATCH(N25,Tarifas!$B$2:$F$2,0)),0))=0,"",MAX(IFERROR(INDEX(Tarifas!$B$3:$F$65,MATCH(K25,Tarifas!$A$3:$A$65,0),MATCH(N25,Tarifas!$B$2:$F$2,0)),0),IFERROR(INDEX(Tarifas!$B$3:$F$65,MATCH(L25,Tarifas!$A$3:$A$65,0),MATCH(N25,Tarifas!$B$2:$F$2,0)),0),IFERROR(INDEX(Tarifas!$B$3:$F$65,MATCH(M25,Tarifas!$A$3:$A$65,0),MATCH(N25,Tarifas!$B$2:$F$2,0)),0)))),"")</f>
        <v/>
      </c>
      <c r="P25" s="20">
        <f>IF(NOT(OR(B25&lt;&gt;"",C25&lt;&gt;"",D25&lt;&gt;"",E25&lt;&gt;"",F25&lt;&gt;"",G25&lt;&gt;"",H25&lt;&gt;"",I25&lt;&gt;"",J25&lt;&gt;"",K25&lt;&gt;"",N25&lt;&gt;"")),"",IF(AND(B25&lt;&gt;"",C25&lt;&gt;"",D25&lt;&gt;"",E25&lt;&gt;"",F25&lt;&gt;"",G25&lt;&gt;"",H25&lt;&gt;"",I25&lt;&gt;"",J25&lt;&gt;"",K25&lt;&gt;"",N25&lt;&gt;""),"✓ Completo","⚠ Faltan datos"))</f>
        <v/>
      </c>
      <c r="Q25" s="16" t="n"/>
    </row>
    <row r="26" ht="21" customHeight="1">
      <c r="A26" s="21" t="n">
        <v>20</v>
      </c>
      <c r="B26" s="22" t="n"/>
      <c r="C26" s="22" t="n"/>
      <c r="D26" s="22" t="n"/>
      <c r="E26" s="22" t="n"/>
      <c r="F26" s="23" t="n"/>
      <c r="G26" s="22" t="n"/>
      <c r="H26" s="24" t="n"/>
      <c r="I26" s="25" t="n"/>
      <c r="J26" s="25" t="n"/>
      <c r="K26" s="26" t="n"/>
      <c r="L26" s="22" t="n"/>
      <c r="M26" s="22" t="n"/>
      <c r="N26" s="24" t="n"/>
      <c r="O26" s="19">
        <f>IFERROR(IF(N26="","",IF(MAX(IFERROR(INDEX(Tarifas!$B$3:$F$65,MATCH(K26,Tarifas!$A$3:$A$65,0),MATCH(N26,Tarifas!$B$2:$F$2,0)),0),IFERROR(INDEX(Tarifas!$B$3:$F$65,MATCH(L26,Tarifas!$A$3:$A$65,0),MATCH(N26,Tarifas!$B$2:$F$2,0)),0),IFERROR(INDEX(Tarifas!$B$3:$F$65,MATCH(M26,Tarifas!$A$3:$A$65,0),MATCH(N26,Tarifas!$B$2:$F$2,0)),0))=0,"",MAX(IFERROR(INDEX(Tarifas!$B$3:$F$65,MATCH(K26,Tarifas!$A$3:$A$65,0),MATCH(N26,Tarifas!$B$2:$F$2,0)),0),IFERROR(INDEX(Tarifas!$B$3:$F$65,MATCH(L26,Tarifas!$A$3:$A$65,0),MATCH(N26,Tarifas!$B$2:$F$2,0)),0),IFERROR(INDEX(Tarifas!$B$3:$F$65,MATCH(M26,Tarifas!$A$3:$A$65,0),MATCH(N26,Tarifas!$B$2:$F$2,0)),0)))),"")</f>
        <v/>
      </c>
      <c r="P26" s="27">
        <f>IF(NOT(OR(B26&lt;&gt;"",C26&lt;&gt;"",D26&lt;&gt;"",E26&lt;&gt;"",F26&lt;&gt;"",G26&lt;&gt;"",H26&lt;&gt;"",I26&lt;&gt;"",J26&lt;&gt;"",K26&lt;&gt;"",N26&lt;&gt;"")),"",IF(AND(B26&lt;&gt;"",C26&lt;&gt;"",D26&lt;&gt;"",E26&lt;&gt;"",F26&lt;&gt;"",G26&lt;&gt;"",H26&lt;&gt;"",I26&lt;&gt;"",J26&lt;&gt;"",K26&lt;&gt;"",N26&lt;&gt;""),"✓ Completo","⚠ Faltan datos"))</f>
        <v/>
      </c>
      <c r="Q26" s="24" t="n"/>
    </row>
    <row r="27" ht="21" customHeight="1">
      <c r="A27" s="13" t="n">
        <v>21</v>
      </c>
      <c r="B27" s="14" t="n"/>
      <c r="C27" s="14" t="n"/>
      <c r="D27" s="14" t="n"/>
      <c r="E27" s="14" t="n"/>
      <c r="F27" s="15" t="n"/>
      <c r="G27" s="14" t="n"/>
      <c r="H27" s="16" t="n"/>
      <c r="I27" s="17" t="n"/>
      <c r="J27" s="17" t="n"/>
      <c r="K27" s="18" t="n"/>
      <c r="L27" s="14" t="n"/>
      <c r="M27" s="14" t="n"/>
      <c r="N27" s="16" t="n"/>
      <c r="O27" s="19">
        <f>IFERROR(IF(N27="","",IF(MAX(IFERROR(INDEX(Tarifas!$B$3:$F$65,MATCH(K27,Tarifas!$A$3:$A$65,0),MATCH(N27,Tarifas!$B$2:$F$2,0)),0),IFERROR(INDEX(Tarifas!$B$3:$F$65,MATCH(L27,Tarifas!$A$3:$A$65,0),MATCH(N27,Tarifas!$B$2:$F$2,0)),0),IFERROR(INDEX(Tarifas!$B$3:$F$65,MATCH(M27,Tarifas!$A$3:$A$65,0),MATCH(N27,Tarifas!$B$2:$F$2,0)),0))=0,"",MAX(IFERROR(INDEX(Tarifas!$B$3:$F$65,MATCH(K27,Tarifas!$A$3:$A$65,0),MATCH(N27,Tarifas!$B$2:$F$2,0)),0),IFERROR(INDEX(Tarifas!$B$3:$F$65,MATCH(L27,Tarifas!$A$3:$A$65,0),MATCH(N27,Tarifas!$B$2:$F$2,0)),0),IFERROR(INDEX(Tarifas!$B$3:$F$65,MATCH(M27,Tarifas!$A$3:$A$65,0),MATCH(N27,Tarifas!$B$2:$F$2,0)),0)))),"")</f>
        <v/>
      </c>
      <c r="P27" s="20">
        <f>IF(NOT(OR(B27&lt;&gt;"",C27&lt;&gt;"",D27&lt;&gt;"",E27&lt;&gt;"",F27&lt;&gt;"",G27&lt;&gt;"",H27&lt;&gt;"",I27&lt;&gt;"",J27&lt;&gt;"",K27&lt;&gt;"",N27&lt;&gt;"")),"",IF(AND(B27&lt;&gt;"",C27&lt;&gt;"",D27&lt;&gt;"",E27&lt;&gt;"",F27&lt;&gt;"",G27&lt;&gt;"",H27&lt;&gt;"",I27&lt;&gt;"",J27&lt;&gt;"",K27&lt;&gt;"",N27&lt;&gt;""),"✓ Completo","⚠ Faltan datos"))</f>
        <v/>
      </c>
      <c r="Q27" s="16" t="n"/>
    </row>
    <row r="28" ht="21" customHeight="1">
      <c r="A28" s="21" t="n">
        <v>22</v>
      </c>
      <c r="B28" s="22" t="n"/>
      <c r="C28" s="22" t="n"/>
      <c r="D28" s="22" t="n"/>
      <c r="E28" s="22" t="n"/>
      <c r="F28" s="23" t="n"/>
      <c r="G28" s="22" t="n"/>
      <c r="H28" s="24" t="n"/>
      <c r="I28" s="25" t="n"/>
      <c r="J28" s="25" t="n"/>
      <c r="K28" s="26" t="n"/>
      <c r="L28" s="22" t="n"/>
      <c r="M28" s="22" t="n"/>
      <c r="N28" s="24" t="n"/>
      <c r="O28" s="19">
        <f>IFERROR(IF(N28="","",IF(MAX(IFERROR(INDEX(Tarifas!$B$3:$F$65,MATCH(K28,Tarifas!$A$3:$A$65,0),MATCH(N28,Tarifas!$B$2:$F$2,0)),0),IFERROR(INDEX(Tarifas!$B$3:$F$65,MATCH(L28,Tarifas!$A$3:$A$65,0),MATCH(N28,Tarifas!$B$2:$F$2,0)),0),IFERROR(INDEX(Tarifas!$B$3:$F$65,MATCH(M28,Tarifas!$A$3:$A$65,0),MATCH(N28,Tarifas!$B$2:$F$2,0)),0))=0,"",MAX(IFERROR(INDEX(Tarifas!$B$3:$F$65,MATCH(K28,Tarifas!$A$3:$A$65,0),MATCH(N28,Tarifas!$B$2:$F$2,0)),0),IFERROR(INDEX(Tarifas!$B$3:$F$65,MATCH(L28,Tarifas!$A$3:$A$65,0),MATCH(N28,Tarifas!$B$2:$F$2,0)),0),IFERROR(INDEX(Tarifas!$B$3:$F$65,MATCH(M28,Tarifas!$A$3:$A$65,0),MATCH(N28,Tarifas!$B$2:$F$2,0)),0)))),"")</f>
        <v/>
      </c>
      <c r="P28" s="27">
        <f>IF(NOT(OR(B28&lt;&gt;"",C28&lt;&gt;"",D28&lt;&gt;"",E28&lt;&gt;"",F28&lt;&gt;"",G28&lt;&gt;"",H28&lt;&gt;"",I28&lt;&gt;"",J28&lt;&gt;"",K28&lt;&gt;"",N28&lt;&gt;"")),"",IF(AND(B28&lt;&gt;"",C28&lt;&gt;"",D28&lt;&gt;"",E28&lt;&gt;"",F28&lt;&gt;"",G28&lt;&gt;"",H28&lt;&gt;"",I28&lt;&gt;"",J28&lt;&gt;"",K28&lt;&gt;"",N28&lt;&gt;""),"✓ Completo","⚠ Faltan datos"))</f>
        <v/>
      </c>
      <c r="Q28" s="24" t="n"/>
    </row>
    <row r="29" ht="21" customHeight="1">
      <c r="A29" s="13" t="n">
        <v>23</v>
      </c>
      <c r="B29" s="14" t="n"/>
      <c r="C29" s="14" t="n"/>
      <c r="D29" s="14" t="n"/>
      <c r="E29" s="14" t="n"/>
      <c r="F29" s="15" t="n"/>
      <c r="G29" s="14" t="n"/>
      <c r="H29" s="16" t="n"/>
      <c r="I29" s="17" t="n"/>
      <c r="J29" s="17" t="n"/>
      <c r="K29" s="18" t="n"/>
      <c r="L29" s="14" t="n"/>
      <c r="M29" s="14" t="n"/>
      <c r="N29" s="16" t="n"/>
      <c r="O29" s="19">
        <f>IFERROR(IF(N29="","",IF(MAX(IFERROR(INDEX(Tarifas!$B$3:$F$65,MATCH(K29,Tarifas!$A$3:$A$65,0),MATCH(N29,Tarifas!$B$2:$F$2,0)),0),IFERROR(INDEX(Tarifas!$B$3:$F$65,MATCH(L29,Tarifas!$A$3:$A$65,0),MATCH(N29,Tarifas!$B$2:$F$2,0)),0),IFERROR(INDEX(Tarifas!$B$3:$F$65,MATCH(M29,Tarifas!$A$3:$A$65,0),MATCH(N29,Tarifas!$B$2:$F$2,0)),0))=0,"",MAX(IFERROR(INDEX(Tarifas!$B$3:$F$65,MATCH(K29,Tarifas!$A$3:$A$65,0),MATCH(N29,Tarifas!$B$2:$F$2,0)),0),IFERROR(INDEX(Tarifas!$B$3:$F$65,MATCH(L29,Tarifas!$A$3:$A$65,0),MATCH(N29,Tarifas!$B$2:$F$2,0)),0),IFERROR(INDEX(Tarifas!$B$3:$F$65,MATCH(M29,Tarifas!$A$3:$A$65,0),MATCH(N29,Tarifas!$B$2:$F$2,0)),0)))),"")</f>
        <v/>
      </c>
      <c r="P29" s="20">
        <f>IF(NOT(OR(B29&lt;&gt;"",C29&lt;&gt;"",D29&lt;&gt;"",E29&lt;&gt;"",F29&lt;&gt;"",G29&lt;&gt;"",H29&lt;&gt;"",I29&lt;&gt;"",J29&lt;&gt;"",K29&lt;&gt;"",N29&lt;&gt;"")),"",IF(AND(B29&lt;&gt;"",C29&lt;&gt;"",D29&lt;&gt;"",E29&lt;&gt;"",F29&lt;&gt;"",G29&lt;&gt;"",H29&lt;&gt;"",I29&lt;&gt;"",J29&lt;&gt;"",K29&lt;&gt;"",N29&lt;&gt;""),"✓ Completo","⚠ Faltan datos"))</f>
        <v/>
      </c>
      <c r="Q29" s="16" t="n"/>
    </row>
    <row r="30" ht="21" customHeight="1">
      <c r="A30" s="21" t="n">
        <v>24</v>
      </c>
      <c r="B30" s="22" t="n"/>
      <c r="C30" s="22" t="n"/>
      <c r="D30" s="22" t="n"/>
      <c r="E30" s="22" t="n"/>
      <c r="F30" s="23" t="n"/>
      <c r="G30" s="22" t="n"/>
      <c r="H30" s="24" t="n"/>
      <c r="I30" s="25" t="n"/>
      <c r="J30" s="25" t="n"/>
      <c r="K30" s="26" t="n"/>
      <c r="L30" s="22" t="n"/>
      <c r="M30" s="22" t="n"/>
      <c r="N30" s="24" t="n"/>
      <c r="O30" s="19">
        <f>IFERROR(IF(N30="","",IF(MAX(IFERROR(INDEX(Tarifas!$B$3:$F$65,MATCH(K30,Tarifas!$A$3:$A$65,0),MATCH(N30,Tarifas!$B$2:$F$2,0)),0),IFERROR(INDEX(Tarifas!$B$3:$F$65,MATCH(L30,Tarifas!$A$3:$A$65,0),MATCH(N30,Tarifas!$B$2:$F$2,0)),0),IFERROR(INDEX(Tarifas!$B$3:$F$65,MATCH(M30,Tarifas!$A$3:$A$65,0),MATCH(N30,Tarifas!$B$2:$F$2,0)),0))=0,"",MAX(IFERROR(INDEX(Tarifas!$B$3:$F$65,MATCH(K30,Tarifas!$A$3:$A$65,0),MATCH(N30,Tarifas!$B$2:$F$2,0)),0),IFERROR(INDEX(Tarifas!$B$3:$F$65,MATCH(L30,Tarifas!$A$3:$A$65,0),MATCH(N30,Tarifas!$B$2:$F$2,0)),0),IFERROR(INDEX(Tarifas!$B$3:$F$65,MATCH(M30,Tarifas!$A$3:$A$65,0),MATCH(N30,Tarifas!$B$2:$F$2,0)),0)))),"")</f>
        <v/>
      </c>
      <c r="P30" s="27">
        <f>IF(NOT(OR(B30&lt;&gt;"",C30&lt;&gt;"",D30&lt;&gt;"",E30&lt;&gt;"",F30&lt;&gt;"",G30&lt;&gt;"",H30&lt;&gt;"",I30&lt;&gt;"",J30&lt;&gt;"",K30&lt;&gt;"",N30&lt;&gt;"")),"",IF(AND(B30&lt;&gt;"",C30&lt;&gt;"",D30&lt;&gt;"",E30&lt;&gt;"",F30&lt;&gt;"",G30&lt;&gt;"",H30&lt;&gt;"",I30&lt;&gt;"",J30&lt;&gt;"",K30&lt;&gt;"",N30&lt;&gt;""),"✓ Completo","⚠ Faltan datos"))</f>
        <v/>
      </c>
      <c r="Q30" s="24" t="n"/>
    </row>
    <row r="31" ht="21" customHeight="1">
      <c r="A31" s="13" t="n">
        <v>25</v>
      </c>
      <c r="B31" s="14" t="n"/>
      <c r="C31" s="14" t="n"/>
      <c r="D31" s="14" t="n"/>
      <c r="E31" s="14" t="n"/>
      <c r="F31" s="15" t="n"/>
      <c r="G31" s="14" t="n"/>
      <c r="H31" s="16" t="n"/>
      <c r="I31" s="17" t="n"/>
      <c r="J31" s="17" t="n"/>
      <c r="K31" s="18" t="n"/>
      <c r="L31" s="14" t="n"/>
      <c r="M31" s="14" t="n"/>
      <c r="N31" s="16" t="n"/>
      <c r="O31" s="19">
        <f>IFERROR(IF(N31="","",IF(MAX(IFERROR(INDEX(Tarifas!$B$3:$F$65,MATCH(K31,Tarifas!$A$3:$A$65,0),MATCH(N31,Tarifas!$B$2:$F$2,0)),0),IFERROR(INDEX(Tarifas!$B$3:$F$65,MATCH(L31,Tarifas!$A$3:$A$65,0),MATCH(N31,Tarifas!$B$2:$F$2,0)),0),IFERROR(INDEX(Tarifas!$B$3:$F$65,MATCH(M31,Tarifas!$A$3:$A$65,0),MATCH(N31,Tarifas!$B$2:$F$2,0)),0))=0,"",MAX(IFERROR(INDEX(Tarifas!$B$3:$F$65,MATCH(K31,Tarifas!$A$3:$A$65,0),MATCH(N31,Tarifas!$B$2:$F$2,0)),0),IFERROR(INDEX(Tarifas!$B$3:$F$65,MATCH(L31,Tarifas!$A$3:$A$65,0),MATCH(N31,Tarifas!$B$2:$F$2,0)),0),IFERROR(INDEX(Tarifas!$B$3:$F$65,MATCH(M31,Tarifas!$A$3:$A$65,0),MATCH(N31,Tarifas!$B$2:$F$2,0)),0)))),"")</f>
        <v/>
      </c>
      <c r="P31" s="20">
        <f>IF(NOT(OR(B31&lt;&gt;"",C31&lt;&gt;"",D31&lt;&gt;"",E31&lt;&gt;"",F31&lt;&gt;"",G31&lt;&gt;"",H31&lt;&gt;"",I31&lt;&gt;"",J31&lt;&gt;"",K31&lt;&gt;"",N31&lt;&gt;"")),"",IF(AND(B31&lt;&gt;"",C31&lt;&gt;"",D31&lt;&gt;"",E31&lt;&gt;"",F31&lt;&gt;"",G31&lt;&gt;"",H31&lt;&gt;"",I31&lt;&gt;"",J31&lt;&gt;"",K31&lt;&gt;"",N31&lt;&gt;""),"✓ Completo","⚠ Faltan datos"))</f>
        <v/>
      </c>
      <c r="Q31" s="16" t="n"/>
    </row>
    <row r="32" ht="21" customHeight="1">
      <c r="A32" s="21" t="n">
        <v>26</v>
      </c>
      <c r="B32" s="22" t="n"/>
      <c r="C32" s="22" t="n"/>
      <c r="D32" s="22" t="n"/>
      <c r="E32" s="22" t="n"/>
      <c r="F32" s="23" t="n"/>
      <c r="G32" s="22" t="n"/>
      <c r="H32" s="24" t="n"/>
      <c r="I32" s="25" t="n"/>
      <c r="J32" s="25" t="n"/>
      <c r="K32" s="26" t="n"/>
      <c r="L32" s="22" t="n"/>
      <c r="M32" s="22" t="n"/>
      <c r="N32" s="24" t="n"/>
      <c r="O32" s="19">
        <f>IFERROR(IF(N32="","",IF(MAX(IFERROR(INDEX(Tarifas!$B$3:$F$65,MATCH(K32,Tarifas!$A$3:$A$65,0),MATCH(N32,Tarifas!$B$2:$F$2,0)),0),IFERROR(INDEX(Tarifas!$B$3:$F$65,MATCH(L32,Tarifas!$A$3:$A$65,0),MATCH(N32,Tarifas!$B$2:$F$2,0)),0),IFERROR(INDEX(Tarifas!$B$3:$F$65,MATCH(M32,Tarifas!$A$3:$A$65,0),MATCH(N32,Tarifas!$B$2:$F$2,0)),0))=0,"",MAX(IFERROR(INDEX(Tarifas!$B$3:$F$65,MATCH(K32,Tarifas!$A$3:$A$65,0),MATCH(N32,Tarifas!$B$2:$F$2,0)),0),IFERROR(INDEX(Tarifas!$B$3:$F$65,MATCH(L32,Tarifas!$A$3:$A$65,0),MATCH(N32,Tarifas!$B$2:$F$2,0)),0),IFERROR(INDEX(Tarifas!$B$3:$F$65,MATCH(M32,Tarifas!$A$3:$A$65,0),MATCH(N32,Tarifas!$B$2:$F$2,0)),0)))),"")</f>
        <v/>
      </c>
      <c r="P32" s="27">
        <f>IF(NOT(OR(B32&lt;&gt;"",C32&lt;&gt;"",D32&lt;&gt;"",E32&lt;&gt;"",F32&lt;&gt;"",G32&lt;&gt;"",H32&lt;&gt;"",I32&lt;&gt;"",J32&lt;&gt;"",K32&lt;&gt;"",N32&lt;&gt;"")),"",IF(AND(B32&lt;&gt;"",C32&lt;&gt;"",D32&lt;&gt;"",E32&lt;&gt;"",F32&lt;&gt;"",G32&lt;&gt;"",H32&lt;&gt;"",I32&lt;&gt;"",J32&lt;&gt;"",K32&lt;&gt;"",N32&lt;&gt;""),"✓ Completo","⚠ Faltan datos"))</f>
        <v/>
      </c>
      <c r="Q32" s="24" t="n"/>
    </row>
    <row r="33" ht="21" customHeight="1">
      <c r="A33" s="13" t="n">
        <v>27</v>
      </c>
      <c r="B33" s="14" t="n"/>
      <c r="C33" s="14" t="n"/>
      <c r="D33" s="14" t="n"/>
      <c r="E33" s="14" t="n"/>
      <c r="F33" s="15" t="n"/>
      <c r="G33" s="14" t="n"/>
      <c r="H33" s="16" t="n"/>
      <c r="I33" s="17" t="n"/>
      <c r="J33" s="17" t="n"/>
      <c r="K33" s="18" t="n"/>
      <c r="L33" s="14" t="n"/>
      <c r="M33" s="14" t="n"/>
      <c r="N33" s="16" t="n"/>
      <c r="O33" s="19">
        <f>IFERROR(IF(N33="","",IF(MAX(IFERROR(INDEX(Tarifas!$B$3:$F$65,MATCH(K33,Tarifas!$A$3:$A$65,0),MATCH(N33,Tarifas!$B$2:$F$2,0)),0),IFERROR(INDEX(Tarifas!$B$3:$F$65,MATCH(L33,Tarifas!$A$3:$A$65,0),MATCH(N33,Tarifas!$B$2:$F$2,0)),0),IFERROR(INDEX(Tarifas!$B$3:$F$65,MATCH(M33,Tarifas!$A$3:$A$65,0),MATCH(N33,Tarifas!$B$2:$F$2,0)),0))=0,"",MAX(IFERROR(INDEX(Tarifas!$B$3:$F$65,MATCH(K33,Tarifas!$A$3:$A$65,0),MATCH(N33,Tarifas!$B$2:$F$2,0)),0),IFERROR(INDEX(Tarifas!$B$3:$F$65,MATCH(L33,Tarifas!$A$3:$A$65,0),MATCH(N33,Tarifas!$B$2:$F$2,0)),0),IFERROR(INDEX(Tarifas!$B$3:$F$65,MATCH(M33,Tarifas!$A$3:$A$65,0),MATCH(N33,Tarifas!$B$2:$F$2,0)),0)))),"")</f>
        <v/>
      </c>
      <c r="P33" s="20">
        <f>IF(NOT(OR(B33&lt;&gt;"",C33&lt;&gt;"",D33&lt;&gt;"",E33&lt;&gt;"",F33&lt;&gt;"",G33&lt;&gt;"",H33&lt;&gt;"",I33&lt;&gt;"",J33&lt;&gt;"",K33&lt;&gt;"",N33&lt;&gt;"")),"",IF(AND(B33&lt;&gt;"",C33&lt;&gt;"",D33&lt;&gt;"",E33&lt;&gt;"",F33&lt;&gt;"",G33&lt;&gt;"",H33&lt;&gt;"",I33&lt;&gt;"",J33&lt;&gt;"",K33&lt;&gt;"",N33&lt;&gt;""),"✓ Completo","⚠ Faltan datos"))</f>
        <v/>
      </c>
      <c r="Q33" s="16" t="n"/>
    </row>
    <row r="34" ht="21" customHeight="1">
      <c r="A34" s="21" t="n">
        <v>28</v>
      </c>
      <c r="B34" s="22" t="n"/>
      <c r="C34" s="22" t="n"/>
      <c r="D34" s="22" t="n"/>
      <c r="E34" s="22" t="n"/>
      <c r="F34" s="23" t="n"/>
      <c r="G34" s="22" t="n"/>
      <c r="H34" s="24" t="n"/>
      <c r="I34" s="25" t="n"/>
      <c r="J34" s="25" t="n"/>
      <c r="K34" s="26" t="n"/>
      <c r="L34" s="22" t="n"/>
      <c r="M34" s="22" t="n"/>
      <c r="N34" s="24" t="n"/>
      <c r="O34" s="19">
        <f>IFERROR(IF(N34="","",IF(MAX(IFERROR(INDEX(Tarifas!$B$3:$F$65,MATCH(K34,Tarifas!$A$3:$A$65,0),MATCH(N34,Tarifas!$B$2:$F$2,0)),0),IFERROR(INDEX(Tarifas!$B$3:$F$65,MATCH(L34,Tarifas!$A$3:$A$65,0),MATCH(N34,Tarifas!$B$2:$F$2,0)),0),IFERROR(INDEX(Tarifas!$B$3:$F$65,MATCH(M34,Tarifas!$A$3:$A$65,0),MATCH(N34,Tarifas!$B$2:$F$2,0)),0))=0,"",MAX(IFERROR(INDEX(Tarifas!$B$3:$F$65,MATCH(K34,Tarifas!$A$3:$A$65,0),MATCH(N34,Tarifas!$B$2:$F$2,0)),0),IFERROR(INDEX(Tarifas!$B$3:$F$65,MATCH(L34,Tarifas!$A$3:$A$65,0),MATCH(N34,Tarifas!$B$2:$F$2,0)),0),IFERROR(INDEX(Tarifas!$B$3:$F$65,MATCH(M34,Tarifas!$A$3:$A$65,0),MATCH(N34,Tarifas!$B$2:$F$2,0)),0)))),"")</f>
        <v/>
      </c>
      <c r="P34" s="27">
        <f>IF(NOT(OR(B34&lt;&gt;"",C34&lt;&gt;"",D34&lt;&gt;"",E34&lt;&gt;"",F34&lt;&gt;"",G34&lt;&gt;"",H34&lt;&gt;"",I34&lt;&gt;"",J34&lt;&gt;"",K34&lt;&gt;"",N34&lt;&gt;"")),"",IF(AND(B34&lt;&gt;"",C34&lt;&gt;"",D34&lt;&gt;"",E34&lt;&gt;"",F34&lt;&gt;"",G34&lt;&gt;"",H34&lt;&gt;"",I34&lt;&gt;"",J34&lt;&gt;"",K34&lt;&gt;"",N34&lt;&gt;""),"✓ Completo","⚠ Faltan datos"))</f>
        <v/>
      </c>
      <c r="Q34" s="24" t="n"/>
    </row>
    <row r="35" ht="21" customHeight="1">
      <c r="A35" s="13" t="n">
        <v>29</v>
      </c>
      <c r="B35" s="14" t="n"/>
      <c r="C35" s="14" t="n"/>
      <c r="D35" s="14" t="n"/>
      <c r="E35" s="14" t="n"/>
      <c r="F35" s="15" t="n"/>
      <c r="G35" s="14" t="n"/>
      <c r="H35" s="16" t="n"/>
      <c r="I35" s="17" t="n"/>
      <c r="J35" s="17" t="n"/>
      <c r="K35" s="18" t="n"/>
      <c r="L35" s="14" t="n"/>
      <c r="M35" s="14" t="n"/>
      <c r="N35" s="16" t="n"/>
      <c r="O35" s="19">
        <f>IFERROR(IF(N35="","",IF(MAX(IFERROR(INDEX(Tarifas!$B$3:$F$65,MATCH(K35,Tarifas!$A$3:$A$65,0),MATCH(N35,Tarifas!$B$2:$F$2,0)),0),IFERROR(INDEX(Tarifas!$B$3:$F$65,MATCH(L35,Tarifas!$A$3:$A$65,0),MATCH(N35,Tarifas!$B$2:$F$2,0)),0),IFERROR(INDEX(Tarifas!$B$3:$F$65,MATCH(M35,Tarifas!$A$3:$A$65,0),MATCH(N35,Tarifas!$B$2:$F$2,0)),0))=0,"",MAX(IFERROR(INDEX(Tarifas!$B$3:$F$65,MATCH(K35,Tarifas!$A$3:$A$65,0),MATCH(N35,Tarifas!$B$2:$F$2,0)),0),IFERROR(INDEX(Tarifas!$B$3:$F$65,MATCH(L35,Tarifas!$A$3:$A$65,0),MATCH(N35,Tarifas!$B$2:$F$2,0)),0),IFERROR(INDEX(Tarifas!$B$3:$F$65,MATCH(M35,Tarifas!$A$3:$A$65,0),MATCH(N35,Tarifas!$B$2:$F$2,0)),0)))),"")</f>
        <v/>
      </c>
      <c r="P35" s="20">
        <f>IF(NOT(OR(B35&lt;&gt;"",C35&lt;&gt;"",D35&lt;&gt;"",E35&lt;&gt;"",F35&lt;&gt;"",G35&lt;&gt;"",H35&lt;&gt;"",I35&lt;&gt;"",J35&lt;&gt;"",K35&lt;&gt;"",N35&lt;&gt;"")),"",IF(AND(B35&lt;&gt;"",C35&lt;&gt;"",D35&lt;&gt;"",E35&lt;&gt;"",F35&lt;&gt;"",G35&lt;&gt;"",H35&lt;&gt;"",I35&lt;&gt;"",J35&lt;&gt;"",K35&lt;&gt;"",N35&lt;&gt;""),"✓ Completo","⚠ Faltan datos"))</f>
        <v/>
      </c>
      <c r="Q35" s="16" t="n"/>
    </row>
    <row r="36" ht="21" customHeight="1">
      <c r="A36" s="21" t="n">
        <v>30</v>
      </c>
      <c r="B36" s="22" t="n"/>
      <c r="C36" s="22" t="n"/>
      <c r="D36" s="22" t="n"/>
      <c r="E36" s="22" t="n"/>
      <c r="F36" s="23" t="n"/>
      <c r="G36" s="22" t="n"/>
      <c r="H36" s="24" t="n"/>
      <c r="I36" s="25" t="n"/>
      <c r="J36" s="25" t="n"/>
      <c r="K36" s="26" t="n"/>
      <c r="L36" s="22" t="n"/>
      <c r="M36" s="22" t="n"/>
      <c r="N36" s="24" t="n"/>
      <c r="O36" s="19">
        <f>IFERROR(IF(N36="","",IF(MAX(IFERROR(INDEX(Tarifas!$B$3:$F$65,MATCH(K36,Tarifas!$A$3:$A$65,0),MATCH(N36,Tarifas!$B$2:$F$2,0)),0),IFERROR(INDEX(Tarifas!$B$3:$F$65,MATCH(L36,Tarifas!$A$3:$A$65,0),MATCH(N36,Tarifas!$B$2:$F$2,0)),0),IFERROR(INDEX(Tarifas!$B$3:$F$65,MATCH(M36,Tarifas!$A$3:$A$65,0),MATCH(N36,Tarifas!$B$2:$F$2,0)),0))=0,"",MAX(IFERROR(INDEX(Tarifas!$B$3:$F$65,MATCH(K36,Tarifas!$A$3:$A$65,0),MATCH(N36,Tarifas!$B$2:$F$2,0)),0),IFERROR(INDEX(Tarifas!$B$3:$F$65,MATCH(L36,Tarifas!$A$3:$A$65,0),MATCH(N36,Tarifas!$B$2:$F$2,0)),0),IFERROR(INDEX(Tarifas!$B$3:$F$65,MATCH(M36,Tarifas!$A$3:$A$65,0),MATCH(N36,Tarifas!$B$2:$F$2,0)),0)))),"")</f>
        <v/>
      </c>
      <c r="P36" s="27">
        <f>IF(NOT(OR(B36&lt;&gt;"",C36&lt;&gt;"",D36&lt;&gt;"",E36&lt;&gt;"",F36&lt;&gt;"",G36&lt;&gt;"",H36&lt;&gt;"",I36&lt;&gt;"",J36&lt;&gt;"",K36&lt;&gt;"",N36&lt;&gt;"")),"",IF(AND(B36&lt;&gt;"",C36&lt;&gt;"",D36&lt;&gt;"",E36&lt;&gt;"",F36&lt;&gt;"",G36&lt;&gt;"",H36&lt;&gt;"",I36&lt;&gt;"",J36&lt;&gt;"",K36&lt;&gt;"",N36&lt;&gt;""),"✓ Completo","⚠ Faltan datos"))</f>
        <v/>
      </c>
      <c r="Q36" s="24" t="n"/>
    </row>
    <row r="37" ht="21" customHeight="1">
      <c r="A37" s="13" t="n">
        <v>31</v>
      </c>
      <c r="B37" s="14" t="n"/>
      <c r="C37" s="14" t="n"/>
      <c r="D37" s="14" t="n"/>
      <c r="E37" s="14" t="n"/>
      <c r="F37" s="15" t="n"/>
      <c r="G37" s="14" t="n"/>
      <c r="H37" s="16" t="n"/>
      <c r="I37" s="17" t="n"/>
      <c r="J37" s="17" t="n"/>
      <c r="K37" s="18" t="n"/>
      <c r="L37" s="14" t="n"/>
      <c r="M37" s="14" t="n"/>
      <c r="N37" s="16" t="n"/>
      <c r="O37" s="19">
        <f>IFERROR(IF(N37="","",IF(MAX(IFERROR(INDEX(Tarifas!$B$3:$F$65,MATCH(K37,Tarifas!$A$3:$A$65,0),MATCH(N37,Tarifas!$B$2:$F$2,0)),0),IFERROR(INDEX(Tarifas!$B$3:$F$65,MATCH(L37,Tarifas!$A$3:$A$65,0),MATCH(N37,Tarifas!$B$2:$F$2,0)),0),IFERROR(INDEX(Tarifas!$B$3:$F$65,MATCH(M37,Tarifas!$A$3:$A$65,0),MATCH(N37,Tarifas!$B$2:$F$2,0)),0))=0,"",MAX(IFERROR(INDEX(Tarifas!$B$3:$F$65,MATCH(K37,Tarifas!$A$3:$A$65,0),MATCH(N37,Tarifas!$B$2:$F$2,0)),0),IFERROR(INDEX(Tarifas!$B$3:$F$65,MATCH(L37,Tarifas!$A$3:$A$65,0),MATCH(N37,Tarifas!$B$2:$F$2,0)),0),IFERROR(INDEX(Tarifas!$B$3:$F$65,MATCH(M37,Tarifas!$A$3:$A$65,0),MATCH(N37,Tarifas!$B$2:$F$2,0)),0)))),"")</f>
        <v/>
      </c>
      <c r="P37" s="20">
        <f>IF(NOT(OR(B37&lt;&gt;"",C37&lt;&gt;"",D37&lt;&gt;"",E37&lt;&gt;"",F37&lt;&gt;"",G37&lt;&gt;"",H37&lt;&gt;"",I37&lt;&gt;"",J37&lt;&gt;"",K37&lt;&gt;"",N37&lt;&gt;"")),"",IF(AND(B37&lt;&gt;"",C37&lt;&gt;"",D37&lt;&gt;"",E37&lt;&gt;"",F37&lt;&gt;"",G37&lt;&gt;"",H37&lt;&gt;"",I37&lt;&gt;"",J37&lt;&gt;"",K37&lt;&gt;"",N37&lt;&gt;""),"✓ Completo","⚠ Faltan datos"))</f>
        <v/>
      </c>
      <c r="Q37" s="16" t="n"/>
    </row>
    <row r="38" ht="21" customHeight="1">
      <c r="A38" s="21" t="n">
        <v>32</v>
      </c>
      <c r="B38" s="22" t="n"/>
      <c r="C38" s="22" t="n"/>
      <c r="D38" s="22" t="n"/>
      <c r="E38" s="22" t="n"/>
      <c r="F38" s="23" t="n"/>
      <c r="G38" s="22" t="n"/>
      <c r="H38" s="24" t="n"/>
      <c r="I38" s="25" t="n"/>
      <c r="J38" s="25" t="n"/>
      <c r="K38" s="26" t="n"/>
      <c r="L38" s="22" t="n"/>
      <c r="M38" s="22" t="n"/>
      <c r="N38" s="24" t="n"/>
      <c r="O38" s="19">
        <f>IFERROR(IF(N38="","",IF(MAX(IFERROR(INDEX(Tarifas!$B$3:$F$65,MATCH(K38,Tarifas!$A$3:$A$65,0),MATCH(N38,Tarifas!$B$2:$F$2,0)),0),IFERROR(INDEX(Tarifas!$B$3:$F$65,MATCH(L38,Tarifas!$A$3:$A$65,0),MATCH(N38,Tarifas!$B$2:$F$2,0)),0),IFERROR(INDEX(Tarifas!$B$3:$F$65,MATCH(M38,Tarifas!$A$3:$A$65,0),MATCH(N38,Tarifas!$B$2:$F$2,0)),0))=0,"",MAX(IFERROR(INDEX(Tarifas!$B$3:$F$65,MATCH(K38,Tarifas!$A$3:$A$65,0),MATCH(N38,Tarifas!$B$2:$F$2,0)),0),IFERROR(INDEX(Tarifas!$B$3:$F$65,MATCH(L38,Tarifas!$A$3:$A$65,0),MATCH(N38,Tarifas!$B$2:$F$2,0)),0),IFERROR(INDEX(Tarifas!$B$3:$F$65,MATCH(M38,Tarifas!$A$3:$A$65,0),MATCH(N38,Tarifas!$B$2:$F$2,0)),0)))),"")</f>
        <v/>
      </c>
      <c r="P38" s="27">
        <f>IF(NOT(OR(B38&lt;&gt;"",C38&lt;&gt;"",D38&lt;&gt;"",E38&lt;&gt;"",F38&lt;&gt;"",G38&lt;&gt;"",H38&lt;&gt;"",I38&lt;&gt;"",J38&lt;&gt;"",K38&lt;&gt;"",N38&lt;&gt;"")),"",IF(AND(B38&lt;&gt;"",C38&lt;&gt;"",D38&lt;&gt;"",E38&lt;&gt;"",F38&lt;&gt;"",G38&lt;&gt;"",H38&lt;&gt;"",I38&lt;&gt;"",J38&lt;&gt;"",K38&lt;&gt;"",N38&lt;&gt;""),"✓ Completo","⚠ Faltan datos"))</f>
        <v/>
      </c>
      <c r="Q38" s="24" t="n"/>
    </row>
    <row r="39" ht="21" customHeight="1">
      <c r="A39" s="13" t="n">
        <v>33</v>
      </c>
      <c r="B39" s="14" t="n"/>
      <c r="C39" s="14" t="n"/>
      <c r="D39" s="14" t="n"/>
      <c r="E39" s="14" t="n"/>
      <c r="F39" s="15" t="n"/>
      <c r="G39" s="14" t="n"/>
      <c r="H39" s="16" t="n"/>
      <c r="I39" s="17" t="n"/>
      <c r="J39" s="17" t="n"/>
      <c r="K39" s="18" t="n"/>
      <c r="L39" s="14" t="n"/>
      <c r="M39" s="14" t="n"/>
      <c r="N39" s="16" t="n"/>
      <c r="O39" s="19">
        <f>IFERROR(IF(N39="","",IF(MAX(IFERROR(INDEX(Tarifas!$B$3:$F$65,MATCH(K39,Tarifas!$A$3:$A$65,0),MATCH(N39,Tarifas!$B$2:$F$2,0)),0),IFERROR(INDEX(Tarifas!$B$3:$F$65,MATCH(L39,Tarifas!$A$3:$A$65,0),MATCH(N39,Tarifas!$B$2:$F$2,0)),0),IFERROR(INDEX(Tarifas!$B$3:$F$65,MATCH(M39,Tarifas!$A$3:$A$65,0),MATCH(N39,Tarifas!$B$2:$F$2,0)),0))=0,"",MAX(IFERROR(INDEX(Tarifas!$B$3:$F$65,MATCH(K39,Tarifas!$A$3:$A$65,0),MATCH(N39,Tarifas!$B$2:$F$2,0)),0),IFERROR(INDEX(Tarifas!$B$3:$F$65,MATCH(L39,Tarifas!$A$3:$A$65,0),MATCH(N39,Tarifas!$B$2:$F$2,0)),0),IFERROR(INDEX(Tarifas!$B$3:$F$65,MATCH(M39,Tarifas!$A$3:$A$65,0),MATCH(N39,Tarifas!$B$2:$F$2,0)),0)))),"")</f>
        <v/>
      </c>
      <c r="P39" s="20">
        <f>IF(NOT(OR(B39&lt;&gt;"",C39&lt;&gt;"",D39&lt;&gt;"",E39&lt;&gt;"",F39&lt;&gt;"",G39&lt;&gt;"",H39&lt;&gt;"",I39&lt;&gt;"",J39&lt;&gt;"",K39&lt;&gt;"",N39&lt;&gt;"")),"",IF(AND(B39&lt;&gt;"",C39&lt;&gt;"",D39&lt;&gt;"",E39&lt;&gt;"",F39&lt;&gt;"",G39&lt;&gt;"",H39&lt;&gt;"",I39&lt;&gt;"",J39&lt;&gt;"",K39&lt;&gt;"",N39&lt;&gt;""),"✓ Completo","⚠ Faltan datos"))</f>
        <v/>
      </c>
      <c r="Q39" s="16" t="n"/>
    </row>
    <row r="40" ht="21" customHeight="1">
      <c r="A40" s="21" t="n">
        <v>34</v>
      </c>
      <c r="B40" s="22" t="n"/>
      <c r="C40" s="22" t="n"/>
      <c r="D40" s="22" t="n"/>
      <c r="E40" s="22" t="n"/>
      <c r="F40" s="23" t="n"/>
      <c r="G40" s="22" t="n"/>
      <c r="H40" s="24" t="n"/>
      <c r="I40" s="25" t="n"/>
      <c r="J40" s="25" t="n"/>
      <c r="K40" s="26" t="n"/>
      <c r="L40" s="22" t="n"/>
      <c r="M40" s="22" t="n"/>
      <c r="N40" s="24" t="n"/>
      <c r="O40" s="19">
        <f>IFERROR(IF(N40="","",IF(MAX(IFERROR(INDEX(Tarifas!$B$3:$F$65,MATCH(K40,Tarifas!$A$3:$A$65,0),MATCH(N40,Tarifas!$B$2:$F$2,0)),0),IFERROR(INDEX(Tarifas!$B$3:$F$65,MATCH(L40,Tarifas!$A$3:$A$65,0),MATCH(N40,Tarifas!$B$2:$F$2,0)),0),IFERROR(INDEX(Tarifas!$B$3:$F$65,MATCH(M40,Tarifas!$A$3:$A$65,0),MATCH(N40,Tarifas!$B$2:$F$2,0)),0))=0,"",MAX(IFERROR(INDEX(Tarifas!$B$3:$F$65,MATCH(K40,Tarifas!$A$3:$A$65,0),MATCH(N40,Tarifas!$B$2:$F$2,0)),0),IFERROR(INDEX(Tarifas!$B$3:$F$65,MATCH(L40,Tarifas!$A$3:$A$65,0),MATCH(N40,Tarifas!$B$2:$F$2,0)),0),IFERROR(INDEX(Tarifas!$B$3:$F$65,MATCH(M40,Tarifas!$A$3:$A$65,0),MATCH(N40,Tarifas!$B$2:$F$2,0)),0)))),"")</f>
        <v/>
      </c>
      <c r="P40" s="27">
        <f>IF(NOT(OR(B40&lt;&gt;"",C40&lt;&gt;"",D40&lt;&gt;"",E40&lt;&gt;"",F40&lt;&gt;"",G40&lt;&gt;"",H40&lt;&gt;"",I40&lt;&gt;"",J40&lt;&gt;"",K40&lt;&gt;"",N40&lt;&gt;"")),"",IF(AND(B40&lt;&gt;"",C40&lt;&gt;"",D40&lt;&gt;"",E40&lt;&gt;"",F40&lt;&gt;"",G40&lt;&gt;"",H40&lt;&gt;"",I40&lt;&gt;"",J40&lt;&gt;"",K40&lt;&gt;"",N40&lt;&gt;""),"✓ Completo","⚠ Faltan datos"))</f>
        <v/>
      </c>
      <c r="Q40" s="24" t="n"/>
    </row>
    <row r="41" ht="21" customHeight="1">
      <c r="A41" s="13" t="n">
        <v>35</v>
      </c>
      <c r="B41" s="14" t="n"/>
      <c r="C41" s="14" t="n"/>
      <c r="D41" s="14" t="n"/>
      <c r="E41" s="14" t="n"/>
      <c r="F41" s="15" t="n"/>
      <c r="G41" s="14" t="n"/>
      <c r="H41" s="16" t="n"/>
      <c r="I41" s="17" t="n"/>
      <c r="J41" s="17" t="n"/>
      <c r="K41" s="18" t="n"/>
      <c r="L41" s="14" t="n"/>
      <c r="M41" s="14" t="n"/>
      <c r="N41" s="16" t="n"/>
      <c r="O41" s="19">
        <f>IFERROR(IF(N41="","",IF(MAX(IFERROR(INDEX(Tarifas!$B$3:$F$65,MATCH(K41,Tarifas!$A$3:$A$65,0),MATCH(N41,Tarifas!$B$2:$F$2,0)),0),IFERROR(INDEX(Tarifas!$B$3:$F$65,MATCH(L41,Tarifas!$A$3:$A$65,0),MATCH(N41,Tarifas!$B$2:$F$2,0)),0),IFERROR(INDEX(Tarifas!$B$3:$F$65,MATCH(M41,Tarifas!$A$3:$A$65,0),MATCH(N41,Tarifas!$B$2:$F$2,0)),0))=0,"",MAX(IFERROR(INDEX(Tarifas!$B$3:$F$65,MATCH(K41,Tarifas!$A$3:$A$65,0),MATCH(N41,Tarifas!$B$2:$F$2,0)),0),IFERROR(INDEX(Tarifas!$B$3:$F$65,MATCH(L41,Tarifas!$A$3:$A$65,0),MATCH(N41,Tarifas!$B$2:$F$2,0)),0),IFERROR(INDEX(Tarifas!$B$3:$F$65,MATCH(M41,Tarifas!$A$3:$A$65,0),MATCH(N41,Tarifas!$B$2:$F$2,0)),0)))),"")</f>
        <v/>
      </c>
      <c r="P41" s="20">
        <f>IF(NOT(OR(B41&lt;&gt;"",C41&lt;&gt;"",D41&lt;&gt;"",E41&lt;&gt;"",F41&lt;&gt;"",G41&lt;&gt;"",H41&lt;&gt;"",I41&lt;&gt;"",J41&lt;&gt;"",K41&lt;&gt;"",N41&lt;&gt;"")),"",IF(AND(B41&lt;&gt;"",C41&lt;&gt;"",D41&lt;&gt;"",E41&lt;&gt;"",F41&lt;&gt;"",G41&lt;&gt;"",H41&lt;&gt;"",I41&lt;&gt;"",J41&lt;&gt;"",K41&lt;&gt;"",N41&lt;&gt;""),"✓ Completo","⚠ Faltan datos"))</f>
        <v/>
      </c>
      <c r="Q41" s="16" t="n"/>
    </row>
    <row r="42" ht="21" customHeight="1">
      <c r="A42" s="21" t="n">
        <v>36</v>
      </c>
      <c r="B42" s="22" t="n"/>
      <c r="C42" s="22" t="n"/>
      <c r="D42" s="22" t="n"/>
      <c r="E42" s="22" t="n"/>
      <c r="F42" s="23" t="n"/>
      <c r="G42" s="22" t="n"/>
      <c r="H42" s="24" t="n"/>
      <c r="I42" s="25" t="n"/>
      <c r="J42" s="25" t="n"/>
      <c r="K42" s="26" t="n"/>
      <c r="L42" s="22" t="n"/>
      <c r="M42" s="22" t="n"/>
      <c r="N42" s="24" t="n"/>
      <c r="O42" s="19">
        <f>IFERROR(IF(N42="","",IF(MAX(IFERROR(INDEX(Tarifas!$B$3:$F$65,MATCH(K42,Tarifas!$A$3:$A$65,0),MATCH(N42,Tarifas!$B$2:$F$2,0)),0),IFERROR(INDEX(Tarifas!$B$3:$F$65,MATCH(L42,Tarifas!$A$3:$A$65,0),MATCH(N42,Tarifas!$B$2:$F$2,0)),0),IFERROR(INDEX(Tarifas!$B$3:$F$65,MATCH(M42,Tarifas!$A$3:$A$65,0),MATCH(N42,Tarifas!$B$2:$F$2,0)),0))=0,"",MAX(IFERROR(INDEX(Tarifas!$B$3:$F$65,MATCH(K42,Tarifas!$A$3:$A$65,0),MATCH(N42,Tarifas!$B$2:$F$2,0)),0),IFERROR(INDEX(Tarifas!$B$3:$F$65,MATCH(L42,Tarifas!$A$3:$A$65,0),MATCH(N42,Tarifas!$B$2:$F$2,0)),0),IFERROR(INDEX(Tarifas!$B$3:$F$65,MATCH(M42,Tarifas!$A$3:$A$65,0),MATCH(N42,Tarifas!$B$2:$F$2,0)),0)))),"")</f>
        <v/>
      </c>
      <c r="P42" s="27">
        <f>IF(NOT(OR(B42&lt;&gt;"",C42&lt;&gt;"",D42&lt;&gt;"",E42&lt;&gt;"",F42&lt;&gt;"",G42&lt;&gt;"",H42&lt;&gt;"",I42&lt;&gt;"",J42&lt;&gt;"",K42&lt;&gt;"",N42&lt;&gt;"")),"",IF(AND(B42&lt;&gt;"",C42&lt;&gt;"",D42&lt;&gt;"",E42&lt;&gt;"",F42&lt;&gt;"",G42&lt;&gt;"",H42&lt;&gt;"",I42&lt;&gt;"",J42&lt;&gt;"",K42&lt;&gt;"",N42&lt;&gt;""),"✓ Completo","⚠ Faltan datos"))</f>
        <v/>
      </c>
      <c r="Q42" s="24" t="n"/>
    </row>
    <row r="43" ht="21" customHeight="1">
      <c r="A43" s="13" t="n">
        <v>37</v>
      </c>
      <c r="B43" s="14" t="n"/>
      <c r="C43" s="14" t="n"/>
      <c r="D43" s="14" t="n"/>
      <c r="E43" s="14" t="n"/>
      <c r="F43" s="15" t="n"/>
      <c r="G43" s="14" t="n"/>
      <c r="H43" s="16" t="n"/>
      <c r="I43" s="17" t="n"/>
      <c r="J43" s="17" t="n"/>
      <c r="K43" s="18" t="n"/>
      <c r="L43" s="14" t="n"/>
      <c r="M43" s="14" t="n"/>
      <c r="N43" s="16" t="n"/>
      <c r="O43" s="19">
        <f>IFERROR(IF(N43="","",IF(MAX(IFERROR(INDEX(Tarifas!$B$3:$F$65,MATCH(K43,Tarifas!$A$3:$A$65,0),MATCH(N43,Tarifas!$B$2:$F$2,0)),0),IFERROR(INDEX(Tarifas!$B$3:$F$65,MATCH(L43,Tarifas!$A$3:$A$65,0),MATCH(N43,Tarifas!$B$2:$F$2,0)),0),IFERROR(INDEX(Tarifas!$B$3:$F$65,MATCH(M43,Tarifas!$A$3:$A$65,0),MATCH(N43,Tarifas!$B$2:$F$2,0)),0))=0,"",MAX(IFERROR(INDEX(Tarifas!$B$3:$F$65,MATCH(K43,Tarifas!$A$3:$A$65,0),MATCH(N43,Tarifas!$B$2:$F$2,0)),0),IFERROR(INDEX(Tarifas!$B$3:$F$65,MATCH(L43,Tarifas!$A$3:$A$65,0),MATCH(N43,Tarifas!$B$2:$F$2,0)),0),IFERROR(INDEX(Tarifas!$B$3:$F$65,MATCH(M43,Tarifas!$A$3:$A$65,0),MATCH(N43,Tarifas!$B$2:$F$2,0)),0)))),"")</f>
        <v/>
      </c>
      <c r="P43" s="20">
        <f>IF(NOT(OR(B43&lt;&gt;"",C43&lt;&gt;"",D43&lt;&gt;"",E43&lt;&gt;"",F43&lt;&gt;"",G43&lt;&gt;"",H43&lt;&gt;"",I43&lt;&gt;"",J43&lt;&gt;"",K43&lt;&gt;"",N43&lt;&gt;"")),"",IF(AND(B43&lt;&gt;"",C43&lt;&gt;"",D43&lt;&gt;"",E43&lt;&gt;"",F43&lt;&gt;"",G43&lt;&gt;"",H43&lt;&gt;"",I43&lt;&gt;"",J43&lt;&gt;"",K43&lt;&gt;"",N43&lt;&gt;""),"✓ Completo","⚠ Faltan datos"))</f>
        <v/>
      </c>
      <c r="Q43" s="16" t="n"/>
    </row>
    <row r="44" ht="21" customHeight="1">
      <c r="A44" s="21" t="n">
        <v>38</v>
      </c>
      <c r="B44" s="22" t="n"/>
      <c r="C44" s="22" t="n"/>
      <c r="D44" s="22" t="n"/>
      <c r="E44" s="22" t="n"/>
      <c r="F44" s="23" t="n"/>
      <c r="G44" s="22" t="n"/>
      <c r="H44" s="24" t="n"/>
      <c r="I44" s="25" t="n"/>
      <c r="J44" s="25" t="n"/>
      <c r="K44" s="26" t="n"/>
      <c r="L44" s="22" t="n"/>
      <c r="M44" s="22" t="n"/>
      <c r="N44" s="24" t="n"/>
      <c r="O44" s="19">
        <f>IFERROR(IF(N44="","",IF(MAX(IFERROR(INDEX(Tarifas!$B$3:$F$65,MATCH(K44,Tarifas!$A$3:$A$65,0),MATCH(N44,Tarifas!$B$2:$F$2,0)),0),IFERROR(INDEX(Tarifas!$B$3:$F$65,MATCH(L44,Tarifas!$A$3:$A$65,0),MATCH(N44,Tarifas!$B$2:$F$2,0)),0),IFERROR(INDEX(Tarifas!$B$3:$F$65,MATCH(M44,Tarifas!$A$3:$A$65,0),MATCH(N44,Tarifas!$B$2:$F$2,0)),0))=0,"",MAX(IFERROR(INDEX(Tarifas!$B$3:$F$65,MATCH(K44,Tarifas!$A$3:$A$65,0),MATCH(N44,Tarifas!$B$2:$F$2,0)),0),IFERROR(INDEX(Tarifas!$B$3:$F$65,MATCH(L44,Tarifas!$A$3:$A$65,0),MATCH(N44,Tarifas!$B$2:$F$2,0)),0),IFERROR(INDEX(Tarifas!$B$3:$F$65,MATCH(M44,Tarifas!$A$3:$A$65,0),MATCH(N44,Tarifas!$B$2:$F$2,0)),0)))),"")</f>
        <v/>
      </c>
      <c r="P44" s="27">
        <f>IF(NOT(OR(B44&lt;&gt;"",C44&lt;&gt;"",D44&lt;&gt;"",E44&lt;&gt;"",F44&lt;&gt;"",G44&lt;&gt;"",H44&lt;&gt;"",I44&lt;&gt;"",J44&lt;&gt;"",K44&lt;&gt;"",N44&lt;&gt;"")),"",IF(AND(B44&lt;&gt;"",C44&lt;&gt;"",D44&lt;&gt;"",E44&lt;&gt;"",F44&lt;&gt;"",G44&lt;&gt;"",H44&lt;&gt;"",I44&lt;&gt;"",J44&lt;&gt;"",K44&lt;&gt;"",N44&lt;&gt;""),"✓ Completo","⚠ Faltan datos"))</f>
        <v/>
      </c>
      <c r="Q44" s="24" t="n"/>
    </row>
    <row r="45" ht="21" customHeight="1">
      <c r="A45" s="13" t="n">
        <v>39</v>
      </c>
      <c r="B45" s="14" t="n"/>
      <c r="C45" s="14" t="n"/>
      <c r="D45" s="14" t="n"/>
      <c r="E45" s="14" t="n"/>
      <c r="F45" s="15" t="n"/>
      <c r="G45" s="14" t="n"/>
      <c r="H45" s="16" t="n"/>
      <c r="I45" s="17" t="n"/>
      <c r="J45" s="17" t="n"/>
      <c r="K45" s="18" t="n"/>
      <c r="L45" s="14" t="n"/>
      <c r="M45" s="14" t="n"/>
      <c r="N45" s="16" t="n"/>
      <c r="O45" s="19">
        <f>IFERROR(IF(N45="","",IF(MAX(IFERROR(INDEX(Tarifas!$B$3:$F$65,MATCH(K45,Tarifas!$A$3:$A$65,0),MATCH(N45,Tarifas!$B$2:$F$2,0)),0),IFERROR(INDEX(Tarifas!$B$3:$F$65,MATCH(L45,Tarifas!$A$3:$A$65,0),MATCH(N45,Tarifas!$B$2:$F$2,0)),0),IFERROR(INDEX(Tarifas!$B$3:$F$65,MATCH(M45,Tarifas!$A$3:$A$65,0),MATCH(N45,Tarifas!$B$2:$F$2,0)),0))=0,"",MAX(IFERROR(INDEX(Tarifas!$B$3:$F$65,MATCH(K45,Tarifas!$A$3:$A$65,0),MATCH(N45,Tarifas!$B$2:$F$2,0)),0),IFERROR(INDEX(Tarifas!$B$3:$F$65,MATCH(L45,Tarifas!$A$3:$A$65,0),MATCH(N45,Tarifas!$B$2:$F$2,0)),0),IFERROR(INDEX(Tarifas!$B$3:$F$65,MATCH(M45,Tarifas!$A$3:$A$65,0),MATCH(N45,Tarifas!$B$2:$F$2,0)),0)))),"")</f>
        <v/>
      </c>
      <c r="P45" s="20">
        <f>IF(NOT(OR(B45&lt;&gt;"",C45&lt;&gt;"",D45&lt;&gt;"",E45&lt;&gt;"",F45&lt;&gt;"",G45&lt;&gt;"",H45&lt;&gt;"",I45&lt;&gt;"",J45&lt;&gt;"",K45&lt;&gt;"",N45&lt;&gt;"")),"",IF(AND(B45&lt;&gt;"",C45&lt;&gt;"",D45&lt;&gt;"",E45&lt;&gt;"",F45&lt;&gt;"",G45&lt;&gt;"",H45&lt;&gt;"",I45&lt;&gt;"",J45&lt;&gt;"",K45&lt;&gt;"",N45&lt;&gt;""),"✓ Completo","⚠ Faltan datos"))</f>
        <v/>
      </c>
      <c r="Q45" s="16" t="n"/>
    </row>
    <row r="46" ht="21" customHeight="1">
      <c r="A46" s="21" t="n">
        <v>40</v>
      </c>
      <c r="B46" s="22" t="n"/>
      <c r="C46" s="22" t="n"/>
      <c r="D46" s="22" t="n"/>
      <c r="E46" s="22" t="n"/>
      <c r="F46" s="23" t="n"/>
      <c r="G46" s="22" t="n"/>
      <c r="H46" s="24" t="n"/>
      <c r="I46" s="25" t="n"/>
      <c r="J46" s="25" t="n"/>
      <c r="K46" s="26" t="n"/>
      <c r="L46" s="22" t="n"/>
      <c r="M46" s="22" t="n"/>
      <c r="N46" s="24" t="n"/>
      <c r="O46" s="19">
        <f>IFERROR(IF(N46="","",IF(MAX(IFERROR(INDEX(Tarifas!$B$3:$F$65,MATCH(K46,Tarifas!$A$3:$A$65,0),MATCH(N46,Tarifas!$B$2:$F$2,0)),0),IFERROR(INDEX(Tarifas!$B$3:$F$65,MATCH(L46,Tarifas!$A$3:$A$65,0),MATCH(N46,Tarifas!$B$2:$F$2,0)),0),IFERROR(INDEX(Tarifas!$B$3:$F$65,MATCH(M46,Tarifas!$A$3:$A$65,0),MATCH(N46,Tarifas!$B$2:$F$2,0)),0))=0,"",MAX(IFERROR(INDEX(Tarifas!$B$3:$F$65,MATCH(K46,Tarifas!$A$3:$A$65,0),MATCH(N46,Tarifas!$B$2:$F$2,0)),0),IFERROR(INDEX(Tarifas!$B$3:$F$65,MATCH(L46,Tarifas!$A$3:$A$65,0),MATCH(N46,Tarifas!$B$2:$F$2,0)),0),IFERROR(INDEX(Tarifas!$B$3:$F$65,MATCH(M46,Tarifas!$A$3:$A$65,0),MATCH(N46,Tarifas!$B$2:$F$2,0)),0)))),"")</f>
        <v/>
      </c>
      <c r="P46" s="27">
        <f>IF(NOT(OR(B46&lt;&gt;"",C46&lt;&gt;"",D46&lt;&gt;"",E46&lt;&gt;"",F46&lt;&gt;"",G46&lt;&gt;"",H46&lt;&gt;"",I46&lt;&gt;"",J46&lt;&gt;"",K46&lt;&gt;"",N46&lt;&gt;"")),"",IF(AND(B46&lt;&gt;"",C46&lt;&gt;"",D46&lt;&gt;"",E46&lt;&gt;"",F46&lt;&gt;"",G46&lt;&gt;"",H46&lt;&gt;"",I46&lt;&gt;"",J46&lt;&gt;"",K46&lt;&gt;"",N46&lt;&gt;""),"✓ Completo","⚠ Faltan datos"))</f>
        <v/>
      </c>
      <c r="Q46" s="24" t="n"/>
    </row>
    <row r="47" ht="21" customHeight="1">
      <c r="A47" s="13" t="n">
        <v>41</v>
      </c>
      <c r="B47" s="14" t="n"/>
      <c r="C47" s="14" t="n"/>
      <c r="D47" s="14" t="n"/>
      <c r="E47" s="14" t="n"/>
      <c r="F47" s="15" t="n"/>
      <c r="G47" s="14" t="n"/>
      <c r="H47" s="16" t="n"/>
      <c r="I47" s="17" t="n"/>
      <c r="J47" s="17" t="n"/>
      <c r="K47" s="18" t="n"/>
      <c r="L47" s="14" t="n"/>
      <c r="M47" s="14" t="n"/>
      <c r="N47" s="16" t="n"/>
      <c r="O47" s="19">
        <f>IFERROR(IF(N47="","",IF(MAX(IFERROR(INDEX(Tarifas!$B$3:$F$65,MATCH(K47,Tarifas!$A$3:$A$65,0),MATCH(N47,Tarifas!$B$2:$F$2,0)),0),IFERROR(INDEX(Tarifas!$B$3:$F$65,MATCH(L47,Tarifas!$A$3:$A$65,0),MATCH(N47,Tarifas!$B$2:$F$2,0)),0),IFERROR(INDEX(Tarifas!$B$3:$F$65,MATCH(M47,Tarifas!$A$3:$A$65,0),MATCH(N47,Tarifas!$B$2:$F$2,0)),0))=0,"",MAX(IFERROR(INDEX(Tarifas!$B$3:$F$65,MATCH(K47,Tarifas!$A$3:$A$65,0),MATCH(N47,Tarifas!$B$2:$F$2,0)),0),IFERROR(INDEX(Tarifas!$B$3:$F$65,MATCH(L47,Tarifas!$A$3:$A$65,0),MATCH(N47,Tarifas!$B$2:$F$2,0)),0),IFERROR(INDEX(Tarifas!$B$3:$F$65,MATCH(M47,Tarifas!$A$3:$A$65,0),MATCH(N47,Tarifas!$B$2:$F$2,0)),0)))),"")</f>
        <v/>
      </c>
      <c r="P47" s="20">
        <f>IF(NOT(OR(B47&lt;&gt;"",C47&lt;&gt;"",D47&lt;&gt;"",E47&lt;&gt;"",F47&lt;&gt;"",G47&lt;&gt;"",H47&lt;&gt;"",I47&lt;&gt;"",J47&lt;&gt;"",K47&lt;&gt;"",N47&lt;&gt;"")),"",IF(AND(B47&lt;&gt;"",C47&lt;&gt;"",D47&lt;&gt;"",E47&lt;&gt;"",F47&lt;&gt;"",G47&lt;&gt;"",H47&lt;&gt;"",I47&lt;&gt;"",J47&lt;&gt;"",K47&lt;&gt;"",N47&lt;&gt;""),"✓ Completo","⚠ Faltan datos"))</f>
        <v/>
      </c>
      <c r="Q47" s="16" t="n"/>
    </row>
    <row r="48" ht="21" customHeight="1">
      <c r="A48" s="21" t="n">
        <v>42</v>
      </c>
      <c r="B48" s="22" t="n"/>
      <c r="C48" s="22" t="n"/>
      <c r="D48" s="22" t="n"/>
      <c r="E48" s="22" t="n"/>
      <c r="F48" s="23" t="n"/>
      <c r="G48" s="22" t="n"/>
      <c r="H48" s="24" t="n"/>
      <c r="I48" s="25" t="n"/>
      <c r="J48" s="25" t="n"/>
      <c r="K48" s="26" t="n"/>
      <c r="L48" s="22" t="n"/>
      <c r="M48" s="22" t="n"/>
      <c r="N48" s="24" t="n"/>
      <c r="O48" s="19">
        <f>IFERROR(IF(N48="","",IF(MAX(IFERROR(INDEX(Tarifas!$B$3:$F$65,MATCH(K48,Tarifas!$A$3:$A$65,0),MATCH(N48,Tarifas!$B$2:$F$2,0)),0),IFERROR(INDEX(Tarifas!$B$3:$F$65,MATCH(L48,Tarifas!$A$3:$A$65,0),MATCH(N48,Tarifas!$B$2:$F$2,0)),0),IFERROR(INDEX(Tarifas!$B$3:$F$65,MATCH(M48,Tarifas!$A$3:$A$65,0),MATCH(N48,Tarifas!$B$2:$F$2,0)),0))=0,"",MAX(IFERROR(INDEX(Tarifas!$B$3:$F$65,MATCH(K48,Tarifas!$A$3:$A$65,0),MATCH(N48,Tarifas!$B$2:$F$2,0)),0),IFERROR(INDEX(Tarifas!$B$3:$F$65,MATCH(L48,Tarifas!$A$3:$A$65,0),MATCH(N48,Tarifas!$B$2:$F$2,0)),0),IFERROR(INDEX(Tarifas!$B$3:$F$65,MATCH(M48,Tarifas!$A$3:$A$65,0),MATCH(N48,Tarifas!$B$2:$F$2,0)),0)))),"")</f>
        <v/>
      </c>
      <c r="P48" s="27">
        <f>IF(NOT(OR(B48&lt;&gt;"",C48&lt;&gt;"",D48&lt;&gt;"",E48&lt;&gt;"",F48&lt;&gt;"",G48&lt;&gt;"",H48&lt;&gt;"",I48&lt;&gt;"",J48&lt;&gt;"",K48&lt;&gt;"",N48&lt;&gt;"")),"",IF(AND(B48&lt;&gt;"",C48&lt;&gt;"",D48&lt;&gt;"",E48&lt;&gt;"",F48&lt;&gt;"",G48&lt;&gt;"",H48&lt;&gt;"",I48&lt;&gt;"",J48&lt;&gt;"",K48&lt;&gt;"",N48&lt;&gt;""),"✓ Completo","⚠ Faltan datos"))</f>
        <v/>
      </c>
      <c r="Q48" s="24" t="n"/>
    </row>
    <row r="49" ht="21" customHeight="1">
      <c r="A49" s="13" t="n">
        <v>43</v>
      </c>
      <c r="B49" s="14" t="n"/>
      <c r="C49" s="14" t="n"/>
      <c r="D49" s="14" t="n"/>
      <c r="E49" s="14" t="n"/>
      <c r="F49" s="15" t="n"/>
      <c r="G49" s="14" t="n"/>
      <c r="H49" s="16" t="n"/>
      <c r="I49" s="17" t="n"/>
      <c r="J49" s="17" t="n"/>
      <c r="K49" s="18" t="n"/>
      <c r="L49" s="14" t="n"/>
      <c r="M49" s="14" t="n"/>
      <c r="N49" s="16" t="n"/>
      <c r="O49" s="19">
        <f>IFERROR(IF(N49="","",IF(MAX(IFERROR(INDEX(Tarifas!$B$3:$F$65,MATCH(K49,Tarifas!$A$3:$A$65,0),MATCH(N49,Tarifas!$B$2:$F$2,0)),0),IFERROR(INDEX(Tarifas!$B$3:$F$65,MATCH(L49,Tarifas!$A$3:$A$65,0),MATCH(N49,Tarifas!$B$2:$F$2,0)),0),IFERROR(INDEX(Tarifas!$B$3:$F$65,MATCH(M49,Tarifas!$A$3:$A$65,0),MATCH(N49,Tarifas!$B$2:$F$2,0)),0))=0,"",MAX(IFERROR(INDEX(Tarifas!$B$3:$F$65,MATCH(K49,Tarifas!$A$3:$A$65,0),MATCH(N49,Tarifas!$B$2:$F$2,0)),0),IFERROR(INDEX(Tarifas!$B$3:$F$65,MATCH(L49,Tarifas!$A$3:$A$65,0),MATCH(N49,Tarifas!$B$2:$F$2,0)),0),IFERROR(INDEX(Tarifas!$B$3:$F$65,MATCH(M49,Tarifas!$A$3:$A$65,0),MATCH(N49,Tarifas!$B$2:$F$2,0)),0)))),"")</f>
        <v/>
      </c>
      <c r="P49" s="20">
        <f>IF(NOT(OR(B49&lt;&gt;"",C49&lt;&gt;"",D49&lt;&gt;"",E49&lt;&gt;"",F49&lt;&gt;"",G49&lt;&gt;"",H49&lt;&gt;"",I49&lt;&gt;"",J49&lt;&gt;"",K49&lt;&gt;"",N49&lt;&gt;"")),"",IF(AND(B49&lt;&gt;"",C49&lt;&gt;"",D49&lt;&gt;"",E49&lt;&gt;"",F49&lt;&gt;"",G49&lt;&gt;"",H49&lt;&gt;"",I49&lt;&gt;"",J49&lt;&gt;"",K49&lt;&gt;"",N49&lt;&gt;""),"✓ Completo","⚠ Faltan datos"))</f>
        <v/>
      </c>
      <c r="Q49" s="16" t="n"/>
    </row>
    <row r="50" ht="21" customHeight="1">
      <c r="A50" s="21" t="n">
        <v>44</v>
      </c>
      <c r="B50" s="22" t="n"/>
      <c r="C50" s="22" t="n"/>
      <c r="D50" s="22" t="n"/>
      <c r="E50" s="22" t="n"/>
      <c r="F50" s="23" t="n"/>
      <c r="G50" s="22" t="n"/>
      <c r="H50" s="24" t="n"/>
      <c r="I50" s="25" t="n"/>
      <c r="J50" s="25" t="n"/>
      <c r="K50" s="26" t="n"/>
      <c r="L50" s="22" t="n"/>
      <c r="M50" s="22" t="n"/>
      <c r="N50" s="24" t="n"/>
      <c r="O50" s="19">
        <f>IFERROR(IF(N50="","",IF(MAX(IFERROR(INDEX(Tarifas!$B$3:$F$65,MATCH(K50,Tarifas!$A$3:$A$65,0),MATCH(N50,Tarifas!$B$2:$F$2,0)),0),IFERROR(INDEX(Tarifas!$B$3:$F$65,MATCH(L50,Tarifas!$A$3:$A$65,0),MATCH(N50,Tarifas!$B$2:$F$2,0)),0),IFERROR(INDEX(Tarifas!$B$3:$F$65,MATCH(M50,Tarifas!$A$3:$A$65,0),MATCH(N50,Tarifas!$B$2:$F$2,0)),0))=0,"",MAX(IFERROR(INDEX(Tarifas!$B$3:$F$65,MATCH(K50,Tarifas!$A$3:$A$65,0),MATCH(N50,Tarifas!$B$2:$F$2,0)),0),IFERROR(INDEX(Tarifas!$B$3:$F$65,MATCH(L50,Tarifas!$A$3:$A$65,0),MATCH(N50,Tarifas!$B$2:$F$2,0)),0),IFERROR(INDEX(Tarifas!$B$3:$F$65,MATCH(M50,Tarifas!$A$3:$A$65,0),MATCH(N50,Tarifas!$B$2:$F$2,0)),0)))),"")</f>
        <v/>
      </c>
      <c r="P50" s="27">
        <f>IF(NOT(OR(B50&lt;&gt;"",C50&lt;&gt;"",D50&lt;&gt;"",E50&lt;&gt;"",F50&lt;&gt;"",G50&lt;&gt;"",H50&lt;&gt;"",I50&lt;&gt;"",J50&lt;&gt;"",K50&lt;&gt;"",N50&lt;&gt;"")),"",IF(AND(B50&lt;&gt;"",C50&lt;&gt;"",D50&lt;&gt;"",E50&lt;&gt;"",F50&lt;&gt;"",G50&lt;&gt;"",H50&lt;&gt;"",I50&lt;&gt;"",J50&lt;&gt;"",K50&lt;&gt;"",N50&lt;&gt;""),"✓ Completo","⚠ Faltan datos"))</f>
        <v/>
      </c>
      <c r="Q50" s="24" t="n"/>
    </row>
    <row r="51" ht="21" customHeight="1">
      <c r="A51" s="13" t="n">
        <v>45</v>
      </c>
      <c r="B51" s="14" t="n"/>
      <c r="C51" s="14" t="n"/>
      <c r="D51" s="14" t="n"/>
      <c r="E51" s="14" t="n"/>
      <c r="F51" s="15" t="n"/>
      <c r="G51" s="14" t="n"/>
      <c r="H51" s="16" t="n"/>
      <c r="I51" s="17" t="n"/>
      <c r="J51" s="17" t="n"/>
      <c r="K51" s="18" t="n"/>
      <c r="L51" s="14" t="n"/>
      <c r="M51" s="14" t="n"/>
      <c r="N51" s="16" t="n"/>
      <c r="O51" s="19">
        <f>IFERROR(IF(N51="","",IF(MAX(IFERROR(INDEX(Tarifas!$B$3:$F$65,MATCH(K51,Tarifas!$A$3:$A$65,0),MATCH(N51,Tarifas!$B$2:$F$2,0)),0),IFERROR(INDEX(Tarifas!$B$3:$F$65,MATCH(L51,Tarifas!$A$3:$A$65,0),MATCH(N51,Tarifas!$B$2:$F$2,0)),0),IFERROR(INDEX(Tarifas!$B$3:$F$65,MATCH(M51,Tarifas!$A$3:$A$65,0),MATCH(N51,Tarifas!$B$2:$F$2,0)),0))=0,"",MAX(IFERROR(INDEX(Tarifas!$B$3:$F$65,MATCH(K51,Tarifas!$A$3:$A$65,0),MATCH(N51,Tarifas!$B$2:$F$2,0)),0),IFERROR(INDEX(Tarifas!$B$3:$F$65,MATCH(L51,Tarifas!$A$3:$A$65,0),MATCH(N51,Tarifas!$B$2:$F$2,0)),0),IFERROR(INDEX(Tarifas!$B$3:$F$65,MATCH(M51,Tarifas!$A$3:$A$65,0),MATCH(N51,Tarifas!$B$2:$F$2,0)),0)))),"")</f>
        <v/>
      </c>
      <c r="P51" s="20">
        <f>IF(NOT(OR(B51&lt;&gt;"",C51&lt;&gt;"",D51&lt;&gt;"",E51&lt;&gt;"",F51&lt;&gt;"",G51&lt;&gt;"",H51&lt;&gt;"",I51&lt;&gt;"",J51&lt;&gt;"",K51&lt;&gt;"",N51&lt;&gt;"")),"",IF(AND(B51&lt;&gt;"",C51&lt;&gt;"",D51&lt;&gt;"",E51&lt;&gt;"",F51&lt;&gt;"",G51&lt;&gt;"",H51&lt;&gt;"",I51&lt;&gt;"",J51&lt;&gt;"",K51&lt;&gt;"",N51&lt;&gt;""),"✓ Completo","⚠ Faltan datos"))</f>
        <v/>
      </c>
      <c r="Q51" s="16" t="n"/>
    </row>
    <row r="52" ht="21" customHeight="1">
      <c r="A52" s="21" t="n">
        <v>46</v>
      </c>
      <c r="B52" s="22" t="n"/>
      <c r="C52" s="22" t="n"/>
      <c r="D52" s="22" t="n"/>
      <c r="E52" s="22" t="n"/>
      <c r="F52" s="23" t="n"/>
      <c r="G52" s="22" t="n"/>
      <c r="H52" s="24" t="n"/>
      <c r="I52" s="25" t="n"/>
      <c r="J52" s="25" t="n"/>
      <c r="K52" s="26" t="n"/>
      <c r="L52" s="22" t="n"/>
      <c r="M52" s="22" t="n"/>
      <c r="N52" s="24" t="n"/>
      <c r="O52" s="19">
        <f>IFERROR(IF(N52="","",IF(MAX(IFERROR(INDEX(Tarifas!$B$3:$F$65,MATCH(K52,Tarifas!$A$3:$A$65,0),MATCH(N52,Tarifas!$B$2:$F$2,0)),0),IFERROR(INDEX(Tarifas!$B$3:$F$65,MATCH(L52,Tarifas!$A$3:$A$65,0),MATCH(N52,Tarifas!$B$2:$F$2,0)),0),IFERROR(INDEX(Tarifas!$B$3:$F$65,MATCH(M52,Tarifas!$A$3:$A$65,0),MATCH(N52,Tarifas!$B$2:$F$2,0)),0))=0,"",MAX(IFERROR(INDEX(Tarifas!$B$3:$F$65,MATCH(K52,Tarifas!$A$3:$A$65,0),MATCH(N52,Tarifas!$B$2:$F$2,0)),0),IFERROR(INDEX(Tarifas!$B$3:$F$65,MATCH(L52,Tarifas!$A$3:$A$65,0),MATCH(N52,Tarifas!$B$2:$F$2,0)),0),IFERROR(INDEX(Tarifas!$B$3:$F$65,MATCH(M52,Tarifas!$A$3:$A$65,0),MATCH(N52,Tarifas!$B$2:$F$2,0)),0)))),"")</f>
        <v/>
      </c>
      <c r="P52" s="27">
        <f>IF(NOT(OR(B52&lt;&gt;"",C52&lt;&gt;"",D52&lt;&gt;"",E52&lt;&gt;"",F52&lt;&gt;"",G52&lt;&gt;"",H52&lt;&gt;"",I52&lt;&gt;"",J52&lt;&gt;"",K52&lt;&gt;"",N52&lt;&gt;"")),"",IF(AND(B52&lt;&gt;"",C52&lt;&gt;"",D52&lt;&gt;"",E52&lt;&gt;"",F52&lt;&gt;"",G52&lt;&gt;"",H52&lt;&gt;"",I52&lt;&gt;"",J52&lt;&gt;"",K52&lt;&gt;"",N52&lt;&gt;""),"✓ Completo","⚠ Faltan datos"))</f>
        <v/>
      </c>
      <c r="Q52" s="24" t="n"/>
    </row>
    <row r="53" ht="21" customHeight="1">
      <c r="A53" s="13" t="n">
        <v>47</v>
      </c>
      <c r="B53" s="14" t="n"/>
      <c r="C53" s="14" t="n"/>
      <c r="D53" s="14" t="n"/>
      <c r="E53" s="14" t="n"/>
      <c r="F53" s="15" t="n"/>
      <c r="G53" s="14" t="n"/>
      <c r="H53" s="16" t="n"/>
      <c r="I53" s="17" t="n"/>
      <c r="J53" s="17" t="n"/>
      <c r="K53" s="18" t="n"/>
      <c r="L53" s="14" t="n"/>
      <c r="M53" s="14" t="n"/>
      <c r="N53" s="16" t="n"/>
      <c r="O53" s="19">
        <f>IFERROR(IF(N53="","",IF(MAX(IFERROR(INDEX(Tarifas!$B$3:$F$65,MATCH(K53,Tarifas!$A$3:$A$65,0),MATCH(N53,Tarifas!$B$2:$F$2,0)),0),IFERROR(INDEX(Tarifas!$B$3:$F$65,MATCH(L53,Tarifas!$A$3:$A$65,0),MATCH(N53,Tarifas!$B$2:$F$2,0)),0),IFERROR(INDEX(Tarifas!$B$3:$F$65,MATCH(M53,Tarifas!$A$3:$A$65,0),MATCH(N53,Tarifas!$B$2:$F$2,0)),0))=0,"",MAX(IFERROR(INDEX(Tarifas!$B$3:$F$65,MATCH(K53,Tarifas!$A$3:$A$65,0),MATCH(N53,Tarifas!$B$2:$F$2,0)),0),IFERROR(INDEX(Tarifas!$B$3:$F$65,MATCH(L53,Tarifas!$A$3:$A$65,0),MATCH(N53,Tarifas!$B$2:$F$2,0)),0),IFERROR(INDEX(Tarifas!$B$3:$F$65,MATCH(M53,Tarifas!$A$3:$A$65,0),MATCH(N53,Tarifas!$B$2:$F$2,0)),0)))),"")</f>
        <v/>
      </c>
      <c r="P53" s="20">
        <f>IF(NOT(OR(B53&lt;&gt;"",C53&lt;&gt;"",D53&lt;&gt;"",E53&lt;&gt;"",F53&lt;&gt;"",G53&lt;&gt;"",H53&lt;&gt;"",I53&lt;&gt;"",J53&lt;&gt;"",K53&lt;&gt;"",N53&lt;&gt;"")),"",IF(AND(B53&lt;&gt;"",C53&lt;&gt;"",D53&lt;&gt;"",E53&lt;&gt;"",F53&lt;&gt;"",G53&lt;&gt;"",H53&lt;&gt;"",I53&lt;&gt;"",J53&lt;&gt;"",K53&lt;&gt;"",N53&lt;&gt;""),"✓ Completo","⚠ Faltan datos"))</f>
        <v/>
      </c>
      <c r="Q53" s="16" t="n"/>
    </row>
    <row r="55" ht="30" customHeight="1">
      <c r="A55" s="28" t="inlineStr">
        <is>
          <t>RESUMEN</t>
        </is>
      </c>
      <c r="B55" s="29" t="n"/>
      <c r="C55" s="29" t="n"/>
      <c r="D55" s="29" t="n"/>
      <c r="E55" s="29" t="n"/>
      <c r="F55" s="29" t="n"/>
      <c r="G55" s="29" t="n"/>
      <c r="H55" s="29" t="n"/>
      <c r="I55" s="29" t="n"/>
      <c r="J55" s="29" t="n"/>
      <c r="K55" s="30" t="inlineStr">
        <is>
          <t>Pacientes asegurados:</t>
        </is>
      </c>
      <c r="L55" s="31">
        <f>COUNTA(C7:C53)</f>
        <v/>
      </c>
      <c r="M55" s="32" t="inlineStr">
        <is>
          <t>PRIMA TOTAL:</t>
        </is>
      </c>
      <c r="N55" s="29" t="n"/>
      <c r="O55" s="33">
        <f>SUM(O7:O53)</f>
        <v/>
      </c>
      <c r="P55" s="34">
        <f>COUNTIF(P7:P53,"✓ Completo")&amp;" OK"</f>
        <v/>
      </c>
      <c r="Q55" s="34">
        <f>COUNTA(Q7:Q53)&amp;" con póliza"</f>
        <v/>
      </c>
    </row>
    <row r="57" ht="19.95" customHeight="1">
      <c r="A57" s="35" t="inlineStr">
        <is>
          <r>
            <rPr>
              <rFont val="Calibri"/>
              <b val="1"/>
              <color rgb="FF9A6A00"/>
              <sz val="9"/>
            </rPr>
            <t>⚠ El Nº de póliza lo asigna medassure: cuando una fila tiene póliza, el paciente queda marcado en verde.</t>
          </r>
        </is>
      </c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</row>
    <row r="58" ht="34.05" customHeight="1">
      <c r="A58" s="37" t="inlineStr">
        <is>
          <t>Nota — Hasta 3 tratamientos sin recargo — la prima corresponde al tratamiento de mayor importe según la duración elegida.   ·   «✓ Completo» requiere todos los campos marcados con * (tratamientos 2–3 opcionales).   ·   Comunique cualquier complicación en ≤ 7 días a siniestros@iberassekuranz.es (Tel. 91 781 56 32).   ·   Las altas de septiembre se pueden enviar hasta el 5 de octubre.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0" formatCells="0" formatRows="0" sort="0"/>
  <mergeCells count="10">
    <mergeCell ref="A58:Q58"/>
    <mergeCell ref="A3:Q3"/>
    <mergeCell ref="M55:N55"/>
    <mergeCell ref="A4:Q4"/>
    <mergeCell ref="A57:Q57"/>
    <mergeCell ref="A2:Q2"/>
    <mergeCell ref="A55:J55"/>
    <mergeCell ref="C5:J5"/>
    <mergeCell ref="K5:O5"/>
    <mergeCell ref="A1:Q1"/>
  </mergeCells>
  <conditionalFormatting sqref="B7:K53 N7:N53">
    <cfRule type="expression" priority="1" dxfId="0">
      <formula>AND(OR($B7&lt;&gt;"",$C7&lt;&gt;"",$D7&lt;&gt;"",$E7&lt;&gt;"",$F7&lt;&gt;"",$G7&lt;&gt;"",$H7&lt;&gt;"",$I7&lt;&gt;"",$J7&lt;&gt;"",$K7&lt;&gt;"",$N7&lt;&gt;""),B7="")</formula>
    </cfRule>
  </conditionalFormatting>
  <conditionalFormatting sqref="C7:D53">
    <cfRule type="expression" priority="2" dxfId="1">
      <formula>$Q7&lt;&gt;""</formula>
    </cfRule>
  </conditionalFormatting>
  <conditionalFormatting sqref="Q7:Q53">
    <cfRule type="expression" priority="3" dxfId="2">
      <formula>$Q7&lt;&gt;""</formula>
    </cfRule>
  </conditionalFormatting>
  <conditionalFormatting sqref="P7:P53">
    <cfRule type="containsText" priority="4" operator="containsText" dxfId="3" text="Completo">
      <formula>NOT(ISERROR(SEARCH("Completo",P7)))</formula>
    </cfRule>
    <cfRule type="containsText" priority="5" operator="containsText" dxfId="4" text="Faltan">
      <formula>NOT(ISERROR(SEARCH("Faltan",P7)))</formula>
    </cfRule>
  </conditionalFormatting>
  <dataValidations count="7">
    <dataValidation sqref="B7:B53" showDropDown="0" showInputMessage="1" showErrorMessage="0" allowBlank="1" promptTitle="Cirujano/a" prompt="Elija el cirujano/a de la lista desplegable ▼" type="list">
      <formula1>"Dra. Nazaret Ruiz López,Dr. Roberto Miranda López"</formula1>
    </dataValidation>
    <dataValidation sqref="E7:E53" showDropDown="0" showInputMessage="1" showErrorMessage="0" allowBlank="1" promptTitle="Dirección" prompt="Escriba calle y número. Ej.: C. Balmes 12, 3º 2ª" type="textLength" operator="greaterThan">
      <formula1>0</formula1>
    </dataValidation>
    <dataValidation sqref="I7:I53" showDropDown="0" showInputMessage="1" showErrorMessage="0" allowBlank="1" promptTitle="Fecha" prompt="Fecha de nacimiento (dd.mm.aaaa)"/>
    <dataValidation sqref="J7:J53" showDropDown="0" showInputMessage="1" showErrorMessage="0" allowBlank="1" promptTitle="Fecha" prompt="Fecha de operación (dd.mm.aaaa)"/>
    <dataValidation sqref="K7:K53" showDropDown="0" showInputMessage="1" showErrorMessage="0" allowBlank="1" promptTitle="Tratamiento" prompt="Elija un tratamiento de la lista desplegable ▼" type="list">
      <formula1>Tratamientos</formula1>
    </dataValidation>
    <dataValidation sqref="L7:M53" showDropDown="0" showInputMessage="0" showErrorMessage="0" allowBlank="1" promptTitle="Tratamiento" prompt="Elija un tratamiento de la lista desplegable ▼" type="list">
      <formula1>Tratamientos</formula1>
    </dataValidation>
    <dataValidation sqref="N7:N53" showDropDown="0" showInputMessage="1" showErrorMessage="0" allowBlank="1" promptTitle="Duración" prompt="Elija la duración: de 1 a 5 años" type="list">
      <formula1>Duraciones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D4941A"/>
    <outlinePr summaryBelow="1" summaryRight="1"/>
    <pageSetUpPr/>
  </sheetPr>
  <dimension ref="A1:Q58"/>
  <sheetViews>
    <sheetView showGridLines="0" tabSelected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16" customWidth="1" min="4" max="4"/>
    <col width="32" customWidth="1" min="5" max="5"/>
    <col width="14" customWidth="1" min="6" max="6"/>
    <col width="16" customWidth="1" min="7" max="7"/>
    <col width="11" customWidth="1" min="8" max="8"/>
    <col width="14" customWidth="1" min="9" max="9"/>
    <col width="14" customWidth="1" min="10" max="10"/>
    <col width="34" customWidth="1" min="11" max="11"/>
    <col width="24" customWidth="1" min="12" max="12"/>
    <col width="24" customWidth="1" min="13" max="13"/>
    <col width="11" customWidth="1" min="14" max="14"/>
    <col width="14" customWidth="1" min="15" max="15"/>
    <col width="15" customWidth="1" min="16" max="16"/>
    <col width="16" customWidth="1" min="17" max="17"/>
  </cols>
  <sheetData>
    <row r="1" ht="46.05" customHeight="1">
      <c r="A1" s="1" t="inlineStr">
        <is>
          <r>
            <rPr>
              <rFont val="Calibri"/>
              <b val="1"/>
              <color rgb="FFFFFFFF"/>
              <sz val="22"/>
            </rPr>
            <t xml:space="preserve">     medassure beauty</t>
          </r>
          <r>
            <rPr>
              <rFont val="Calibri"/>
              <color rgb="FFEFD6A8"/>
              <sz val="13"/>
            </rPr>
            <t xml:space="preserve">      Seguro de cirugía estética</t>
          </r>
          <r>
            <rPr>
              <rFont val="Calibri"/>
              <color rgb="FFEFD6A8"/>
              <sz val="13"/>
            </rPr>
            <t xml:space="preserve">   ·   </t>
          </r>
          <r>
            <rPr>
              <rFont val="Calibri"/>
              <b val="1"/>
              <color rgb="FFFFFFFF"/>
              <sz val="13"/>
            </rPr>
            <t>Octubre</t>
          </r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9.95" customHeight="1">
      <c r="A2" s="3" t="inlineStr">
        <is>
          <r>
            <rPr>
              <rFont val="Calibri"/>
              <b val="1"/>
              <color rgb="FF7A5208"/>
              <sz val="10"/>
            </rPr>
            <t>Seleccione los tratamientos y la duración utilizando las pestañas desplegables (▼). La prima se calculará automáticamente en función del tratamiento de mayor importe seleccionado.</t>
          </r>
          <r>
            <rPr>
              <rFont val="Calibri"/>
              <i val="1"/>
              <color rgb="FF14202E"/>
              <sz val="10"/>
            </rPr>
            <t xml:space="preserve">      Para dudas relacionadas con las altas de los pacientes: </t>
          </r>
          <r>
            <rPr>
              <rFont val="Calibri"/>
              <b val="1"/>
              <color rgb="FF7A5208"/>
              <sz val="10"/>
            </rPr>
            <t>info@medassure.es</t>
          </r>
          <r>
            <rPr>
              <rFont val="Calibri"/>
              <i val="1"/>
              <color rgb="FF14202E"/>
              <sz val="10"/>
            </rPr>
            <t xml:space="preserve">  ·  WhatsApp </t>
          </r>
          <r>
            <rPr>
              <rFont val="Calibri"/>
              <b val="1"/>
              <color rgb="FF7A5208"/>
              <sz val="10"/>
            </rPr>
            <t>672 69 68 21</t>
          </r>
        </is>
      </c>
    </row>
    <row r="3" ht="24" customHeight="1">
      <c r="A3" s="4" t="inlineStr">
        <is>
          <r>
            <rPr>
              <rFont val="Calibri"/>
              <b val="1"/>
              <color rgb="FF98A2B0"/>
              <sz val="9"/>
            </rPr>
            <t xml:space="preserve">PLAZO  </t>
          </r>
          <r>
            <rPr>
              <rFont val="Calibri"/>
              <color rgb="FF14202E"/>
              <sz val="10"/>
            </rPr>
            <t xml:space="preserve">Las altas de octubre se pueden enviar </t>
          </r>
          <r>
            <rPr>
              <rFont val="Calibri"/>
              <b val="1"/>
              <color rgb="FF7A5208"/>
              <sz val="10"/>
            </rPr>
            <t>hasta el 5 de noviembre</t>
          </r>
          <r>
            <rPr>
              <rFont val="Calibri"/>
              <b val="1"/>
              <color rgb="FF98A2B0"/>
              <sz val="9"/>
            </rPr>
            <t xml:space="preserve">        CONDICIONES  </t>
          </r>
          <r>
            <rPr>
              <rFont val="Calibri"/>
              <color rgb="FF14202E"/>
              <sz val="10"/>
            </rPr>
            <t xml:space="preserve">Duración: </t>
          </r>
          <r>
            <rPr>
              <rFont val="Calibri"/>
              <b val="1"/>
              <color rgb="FF14202E"/>
              <sz val="10"/>
            </rPr>
            <t>1 año</t>
          </r>
          <r>
            <rPr>
              <rFont val="Calibri"/>
              <color rgb="FF98A2B0"/>
              <sz val="10"/>
            </rPr>
            <t xml:space="preserve">  →  </t>
          </r>
          <r>
            <rPr>
              <rFont val="Calibri"/>
              <b val="1"/>
              <color rgb="FF7A5208"/>
              <sz val="10"/>
            </rPr>
            <t>5 años</t>
          </r>
          <r>
            <rPr>
              <rFont val="Calibri"/>
              <color rgb="FF14202E"/>
              <sz val="10"/>
            </rPr>
            <t xml:space="preserve">        Hasta </t>
          </r>
          <r>
            <rPr>
              <rFont val="Calibri"/>
              <b val="1"/>
              <color rgb="FF14202E"/>
              <sz val="10"/>
            </rPr>
            <t>3 tratamientos</t>
          </r>
          <r>
            <rPr>
              <rFont val="Calibri"/>
              <color rgb="FF14202E"/>
              <sz val="10"/>
            </rPr>
            <t xml:space="preserve"> por paciente</t>
          </r>
          <r>
            <rPr>
              <rFont val="Calibri"/>
              <i val="1"/>
              <color rgb="FF98A2B0"/>
              <sz val="9"/>
            </rPr>
            <t xml:space="preserve">  (la prima corresponde al tratamiento de mayor importe)</t>
          </r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</row>
    <row r="4" ht="19.95" customHeight="1">
      <c r="A4" s="6" t="inlineStr">
        <is>
          <r>
            <rPr>
              <rFont val="Calibri"/>
              <family val="2"/>
              <b val="1"/>
              <color rgb="FF9A2A2A"/>
              <sz val="10"/>
            </rPr>
            <t xml:space="preserve">⚠  IMPORTANTE  </t>
          </r>
          <r>
            <rPr>
              <rFont val="Calibri"/>
              <family val="2"/>
              <color rgb="FF9A2A2A"/>
              <sz val="10"/>
            </rPr>
            <t xml:space="preserve">Comunique cualquier complicación en un plazo máximo de </t>
          </r>
          <r>
            <rPr>
              <rFont val="Calibri"/>
              <family val="2"/>
              <b val="1"/>
              <color rgb="FF9A2A2A"/>
              <sz val="10"/>
            </rPr>
            <t>7 días</t>
          </r>
          <r>
            <rPr>
              <rFont val="Calibri"/>
              <family val="2"/>
              <color rgb="FF9A2A2A"/>
              <sz val="10"/>
            </rPr>
            <t xml:space="preserve"> a  </t>
          </r>
          <r>
            <rPr>
              <rFont val="Calibri"/>
              <family val="2"/>
              <b val="1"/>
              <color rgb="FF9A2A2A"/>
              <sz val="10"/>
            </rPr>
            <t>siniestros@iberassekuranz.es</t>
          </r>
          <r>
            <rPr>
              <rFont val="Calibri"/>
              <family val="2"/>
              <color rgb="FF9A2A2A"/>
              <sz val="10"/>
            </rPr>
            <t xml:space="preserve">   ·   Tel. </t>
          </r>
          <r>
            <rPr>
              <rFont val="Calibri"/>
              <family val="2"/>
              <b val="1"/>
              <color rgb="FF9A2A2A"/>
              <sz val="10"/>
            </rPr>
            <t>91 781 56 32</t>
          </r>
          <r>
            <rPr>
              <rFont val="Calibri"/>
              <family val="2"/>
              <color rgb="FF9A2A2A"/>
              <sz val="10"/>
            </rPr>
            <t>.</t>
          </r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</row>
    <row r="5" ht="16.95" customHeight="1">
      <c r="A5" s="8" t="n"/>
      <c r="B5" s="9" t="inlineStr">
        <is>
          <t>MÉDICO</t>
        </is>
      </c>
      <c r="C5" s="9" t="inlineStr">
        <is>
          <t>DATOS DEL PACIENTE</t>
        </is>
      </c>
      <c r="D5" s="9" t="n"/>
      <c r="E5" s="9" t="n"/>
      <c r="F5" s="9" t="n"/>
      <c r="G5" s="9" t="n"/>
      <c r="H5" s="9" t="n"/>
      <c r="I5" s="9" t="n"/>
      <c r="J5" s="9" t="n"/>
      <c r="K5" s="9" t="inlineStr">
        <is>
          <t>DATOS DE LA PÓLIZA</t>
        </is>
      </c>
      <c r="L5" s="9" t="n"/>
      <c r="M5" s="9" t="n"/>
      <c r="N5" s="9" t="n"/>
      <c r="O5" s="9" t="n"/>
      <c r="P5" s="9" t="inlineStr">
        <is>
          <t>ESTADO</t>
        </is>
      </c>
      <c r="Q5" s="9" t="inlineStr">
        <is>
          <t>PÓLIZA</t>
        </is>
      </c>
    </row>
    <row r="6" ht="30" customHeight="1">
      <c r="A6" s="10" t="inlineStr">
        <is>
          <t>Nº</t>
        </is>
      </c>
      <c r="B6" s="11" t="inlineStr">
        <is>
          <t>Cirujano/a *</t>
        </is>
      </c>
      <c r="C6" s="11" t="inlineStr">
        <is>
          <t>Nombre *</t>
        </is>
      </c>
      <c r="D6" s="11" t="inlineStr">
        <is>
          <t>Apellidos *</t>
        </is>
      </c>
      <c r="E6" s="11" t="inlineStr">
        <is>
          <t>Dirección *</t>
        </is>
      </c>
      <c r="F6" s="12" t="inlineStr">
        <is>
          <t>Código postal *</t>
        </is>
      </c>
      <c r="G6" s="11" t="inlineStr">
        <is>
          <t>Localidad *</t>
        </is>
      </c>
      <c r="H6" s="12" t="inlineStr">
        <is>
          <t>País *</t>
        </is>
      </c>
      <c r="I6" s="12" t="inlineStr">
        <is>
          <t>Fecha de nacimiento *</t>
        </is>
      </c>
      <c r="J6" s="12" t="inlineStr">
        <is>
          <t>Fecha de operación *</t>
        </is>
      </c>
      <c r="K6" s="11" t="inlineStr">
        <is>
          <t>Tratamiento 1 *</t>
        </is>
      </c>
      <c r="L6" s="11" t="inlineStr">
        <is>
          <t>Tratamiento 2 (opc.)</t>
        </is>
      </c>
      <c r="M6" s="11" t="inlineStr">
        <is>
          <t>Tratamiento 3 (opc.)</t>
        </is>
      </c>
      <c r="N6" s="12" t="inlineStr">
        <is>
          <t>Duración *</t>
        </is>
      </c>
      <c r="O6" s="12" t="inlineStr">
        <is>
          <t>Prima</t>
        </is>
      </c>
      <c r="P6" s="12" t="inlineStr">
        <is>
          <t>Estado</t>
        </is>
      </c>
      <c r="Q6" s="12" t="inlineStr">
        <is>
          <t>Nº Póliza</t>
        </is>
      </c>
    </row>
    <row r="7" ht="21" customHeight="1">
      <c r="A7" s="13" t="n">
        <v>1</v>
      </c>
      <c r="B7" s="14" t="n"/>
      <c r="C7" s="14" t="n"/>
      <c r="D7" s="14" t="n"/>
      <c r="E7" s="14" t="n"/>
      <c r="F7" s="15" t="n"/>
      <c r="G7" s="14" t="n"/>
      <c r="H7" s="16" t="n"/>
      <c r="I7" s="17" t="n"/>
      <c r="J7" s="17" t="n"/>
      <c r="K7" s="18" t="n"/>
      <c r="L7" s="14" t="n"/>
      <c r="M7" s="14" t="n"/>
      <c r="N7" s="16" t="n"/>
      <c r="O7" s="19">
        <f>IFERROR(IF(N7="","",IF(MAX(IFERROR(INDEX(Tarifas!$B$3:$F$65,MATCH(K7,Tarifas!$A$3:$A$65,0),MATCH(N7,Tarifas!$B$2:$F$2,0)),0),IFERROR(INDEX(Tarifas!$B$3:$F$65,MATCH(L7,Tarifas!$A$3:$A$65,0),MATCH(N7,Tarifas!$B$2:$F$2,0)),0),IFERROR(INDEX(Tarifas!$B$3:$F$65,MATCH(M7,Tarifas!$A$3:$A$65,0),MATCH(N7,Tarifas!$B$2:$F$2,0)),0))=0,"",MAX(IFERROR(INDEX(Tarifas!$B$3:$F$65,MATCH(K7,Tarifas!$A$3:$A$65,0),MATCH(N7,Tarifas!$B$2:$F$2,0)),0),IFERROR(INDEX(Tarifas!$B$3:$F$65,MATCH(L7,Tarifas!$A$3:$A$65,0),MATCH(N7,Tarifas!$B$2:$F$2,0)),0),IFERROR(INDEX(Tarifas!$B$3:$F$65,MATCH(M7,Tarifas!$A$3:$A$65,0),MATCH(N7,Tarifas!$B$2:$F$2,0)),0)))),"")</f>
        <v/>
      </c>
      <c r="P7" s="20">
        <f>IF(NOT(OR(B7&lt;&gt;"",C7&lt;&gt;"",D7&lt;&gt;"",E7&lt;&gt;"",F7&lt;&gt;"",G7&lt;&gt;"",H7&lt;&gt;"",I7&lt;&gt;"",J7&lt;&gt;"",K7&lt;&gt;"",N7&lt;&gt;"")),"",IF(AND(B7&lt;&gt;"",C7&lt;&gt;"",D7&lt;&gt;"",E7&lt;&gt;"",F7&lt;&gt;"",G7&lt;&gt;"",H7&lt;&gt;"",I7&lt;&gt;"",J7&lt;&gt;"",K7&lt;&gt;"",N7&lt;&gt;""),"✓ Completo","⚠ Faltan datos"))</f>
        <v/>
      </c>
      <c r="Q7" s="16" t="n"/>
    </row>
    <row r="8" ht="21" customHeight="1">
      <c r="A8" s="21" t="n">
        <v>2</v>
      </c>
      <c r="B8" s="22" t="n"/>
      <c r="C8" s="22" t="n"/>
      <c r="D8" s="22" t="n"/>
      <c r="E8" s="22" t="n"/>
      <c r="F8" s="23" t="n"/>
      <c r="G8" s="22" t="n"/>
      <c r="H8" s="24" t="n"/>
      <c r="I8" s="25" t="n"/>
      <c r="J8" s="25" t="n"/>
      <c r="K8" s="26" t="n"/>
      <c r="L8" s="22" t="n"/>
      <c r="M8" s="22" t="n"/>
      <c r="N8" s="24" t="n"/>
      <c r="O8" s="19">
        <f>IFERROR(IF(N8="","",IF(MAX(IFERROR(INDEX(Tarifas!$B$3:$F$65,MATCH(K8,Tarifas!$A$3:$A$65,0),MATCH(N8,Tarifas!$B$2:$F$2,0)),0),IFERROR(INDEX(Tarifas!$B$3:$F$65,MATCH(L8,Tarifas!$A$3:$A$65,0),MATCH(N8,Tarifas!$B$2:$F$2,0)),0),IFERROR(INDEX(Tarifas!$B$3:$F$65,MATCH(M8,Tarifas!$A$3:$A$65,0),MATCH(N8,Tarifas!$B$2:$F$2,0)),0))=0,"",MAX(IFERROR(INDEX(Tarifas!$B$3:$F$65,MATCH(K8,Tarifas!$A$3:$A$65,0),MATCH(N8,Tarifas!$B$2:$F$2,0)),0),IFERROR(INDEX(Tarifas!$B$3:$F$65,MATCH(L8,Tarifas!$A$3:$A$65,0),MATCH(N8,Tarifas!$B$2:$F$2,0)),0),IFERROR(INDEX(Tarifas!$B$3:$F$65,MATCH(M8,Tarifas!$A$3:$A$65,0),MATCH(N8,Tarifas!$B$2:$F$2,0)),0)))),"")</f>
        <v/>
      </c>
      <c r="P8" s="27">
        <f>IF(NOT(OR(B8&lt;&gt;"",C8&lt;&gt;"",D8&lt;&gt;"",E8&lt;&gt;"",F8&lt;&gt;"",G8&lt;&gt;"",H8&lt;&gt;"",I8&lt;&gt;"",J8&lt;&gt;"",K8&lt;&gt;"",N8&lt;&gt;"")),"",IF(AND(B8&lt;&gt;"",C8&lt;&gt;"",D8&lt;&gt;"",E8&lt;&gt;"",F8&lt;&gt;"",G8&lt;&gt;"",H8&lt;&gt;"",I8&lt;&gt;"",J8&lt;&gt;"",K8&lt;&gt;"",N8&lt;&gt;""),"✓ Completo","⚠ Faltan datos"))</f>
        <v/>
      </c>
      <c r="Q8" s="24" t="n"/>
    </row>
    <row r="9" ht="21" customHeight="1">
      <c r="A9" s="13" t="n">
        <v>3</v>
      </c>
      <c r="B9" s="14" t="n"/>
      <c r="C9" s="14" t="n"/>
      <c r="D9" s="14" t="n"/>
      <c r="E9" s="14" t="n"/>
      <c r="F9" s="15" t="n"/>
      <c r="G9" s="14" t="n"/>
      <c r="H9" s="16" t="n"/>
      <c r="I9" s="17" t="n"/>
      <c r="J9" s="17" t="n"/>
      <c r="K9" s="18" t="n"/>
      <c r="L9" s="14" t="n"/>
      <c r="M9" s="14" t="n"/>
      <c r="N9" s="16" t="n"/>
      <c r="O9" s="19">
        <f>IFERROR(IF(N9="","",IF(MAX(IFERROR(INDEX(Tarifas!$B$3:$F$65,MATCH(K9,Tarifas!$A$3:$A$65,0),MATCH(N9,Tarifas!$B$2:$F$2,0)),0),IFERROR(INDEX(Tarifas!$B$3:$F$65,MATCH(L9,Tarifas!$A$3:$A$65,0),MATCH(N9,Tarifas!$B$2:$F$2,0)),0),IFERROR(INDEX(Tarifas!$B$3:$F$65,MATCH(M9,Tarifas!$A$3:$A$65,0),MATCH(N9,Tarifas!$B$2:$F$2,0)),0))=0,"",MAX(IFERROR(INDEX(Tarifas!$B$3:$F$65,MATCH(K9,Tarifas!$A$3:$A$65,0),MATCH(N9,Tarifas!$B$2:$F$2,0)),0),IFERROR(INDEX(Tarifas!$B$3:$F$65,MATCH(L9,Tarifas!$A$3:$A$65,0),MATCH(N9,Tarifas!$B$2:$F$2,0)),0),IFERROR(INDEX(Tarifas!$B$3:$F$65,MATCH(M9,Tarifas!$A$3:$A$65,0),MATCH(N9,Tarifas!$B$2:$F$2,0)),0)))),"")</f>
        <v/>
      </c>
      <c r="P9" s="20">
        <f>IF(NOT(OR(B9&lt;&gt;"",C9&lt;&gt;"",D9&lt;&gt;"",E9&lt;&gt;"",F9&lt;&gt;"",G9&lt;&gt;"",H9&lt;&gt;"",I9&lt;&gt;"",J9&lt;&gt;"",K9&lt;&gt;"",N9&lt;&gt;"")),"",IF(AND(B9&lt;&gt;"",C9&lt;&gt;"",D9&lt;&gt;"",E9&lt;&gt;"",F9&lt;&gt;"",G9&lt;&gt;"",H9&lt;&gt;"",I9&lt;&gt;"",J9&lt;&gt;"",K9&lt;&gt;"",N9&lt;&gt;""),"✓ Completo","⚠ Faltan datos"))</f>
        <v/>
      </c>
      <c r="Q9" s="16" t="n"/>
    </row>
    <row r="10" ht="21" customHeight="1">
      <c r="A10" s="21" t="n">
        <v>4</v>
      </c>
      <c r="B10" s="22" t="n"/>
      <c r="C10" s="22" t="n"/>
      <c r="D10" s="22" t="n"/>
      <c r="E10" s="22" t="n"/>
      <c r="F10" s="23" t="n"/>
      <c r="G10" s="22" t="n"/>
      <c r="H10" s="24" t="n"/>
      <c r="I10" s="25" t="n"/>
      <c r="J10" s="25" t="n"/>
      <c r="K10" s="26" t="n"/>
      <c r="L10" s="22" t="n"/>
      <c r="M10" s="22" t="n"/>
      <c r="N10" s="24" t="n"/>
      <c r="O10" s="19">
        <f>IFERROR(IF(N10="","",IF(MAX(IFERROR(INDEX(Tarifas!$B$3:$F$65,MATCH(K10,Tarifas!$A$3:$A$65,0),MATCH(N10,Tarifas!$B$2:$F$2,0)),0),IFERROR(INDEX(Tarifas!$B$3:$F$65,MATCH(L10,Tarifas!$A$3:$A$65,0),MATCH(N10,Tarifas!$B$2:$F$2,0)),0),IFERROR(INDEX(Tarifas!$B$3:$F$65,MATCH(M10,Tarifas!$A$3:$A$65,0),MATCH(N10,Tarifas!$B$2:$F$2,0)),0))=0,"",MAX(IFERROR(INDEX(Tarifas!$B$3:$F$65,MATCH(K10,Tarifas!$A$3:$A$65,0),MATCH(N10,Tarifas!$B$2:$F$2,0)),0),IFERROR(INDEX(Tarifas!$B$3:$F$65,MATCH(L10,Tarifas!$A$3:$A$65,0),MATCH(N10,Tarifas!$B$2:$F$2,0)),0),IFERROR(INDEX(Tarifas!$B$3:$F$65,MATCH(M10,Tarifas!$A$3:$A$65,0),MATCH(N10,Tarifas!$B$2:$F$2,0)),0)))),"")</f>
        <v/>
      </c>
      <c r="P10" s="27">
        <f>IF(NOT(OR(B10&lt;&gt;"",C10&lt;&gt;"",D10&lt;&gt;"",E10&lt;&gt;"",F10&lt;&gt;"",G10&lt;&gt;"",H10&lt;&gt;"",I10&lt;&gt;"",J10&lt;&gt;"",K10&lt;&gt;"",N10&lt;&gt;"")),"",IF(AND(B10&lt;&gt;"",C10&lt;&gt;"",D10&lt;&gt;"",E10&lt;&gt;"",F10&lt;&gt;"",G10&lt;&gt;"",H10&lt;&gt;"",I10&lt;&gt;"",J10&lt;&gt;"",K10&lt;&gt;"",N10&lt;&gt;""),"✓ Completo","⚠ Faltan datos"))</f>
        <v/>
      </c>
      <c r="Q10" s="24" t="n"/>
    </row>
    <row r="11" ht="21" customHeight="1">
      <c r="A11" s="13" t="n">
        <v>5</v>
      </c>
      <c r="B11" s="14" t="n"/>
      <c r="C11" s="14" t="n"/>
      <c r="D11" s="14" t="n"/>
      <c r="E11" s="14" t="n"/>
      <c r="F11" s="15" t="n"/>
      <c r="G11" s="14" t="n"/>
      <c r="H11" s="16" t="n"/>
      <c r="I11" s="17" t="n"/>
      <c r="J11" s="17" t="n"/>
      <c r="K11" s="18" t="n"/>
      <c r="L11" s="14" t="n"/>
      <c r="M11" s="14" t="n"/>
      <c r="N11" s="16" t="n"/>
      <c r="O11" s="19">
        <f>IFERROR(IF(N11="","",IF(MAX(IFERROR(INDEX(Tarifas!$B$3:$F$65,MATCH(K11,Tarifas!$A$3:$A$65,0),MATCH(N11,Tarifas!$B$2:$F$2,0)),0),IFERROR(INDEX(Tarifas!$B$3:$F$65,MATCH(L11,Tarifas!$A$3:$A$65,0),MATCH(N11,Tarifas!$B$2:$F$2,0)),0),IFERROR(INDEX(Tarifas!$B$3:$F$65,MATCH(M11,Tarifas!$A$3:$A$65,0),MATCH(N11,Tarifas!$B$2:$F$2,0)),0))=0,"",MAX(IFERROR(INDEX(Tarifas!$B$3:$F$65,MATCH(K11,Tarifas!$A$3:$A$65,0),MATCH(N11,Tarifas!$B$2:$F$2,0)),0),IFERROR(INDEX(Tarifas!$B$3:$F$65,MATCH(L11,Tarifas!$A$3:$A$65,0),MATCH(N11,Tarifas!$B$2:$F$2,0)),0),IFERROR(INDEX(Tarifas!$B$3:$F$65,MATCH(M11,Tarifas!$A$3:$A$65,0),MATCH(N11,Tarifas!$B$2:$F$2,0)),0)))),"")</f>
        <v/>
      </c>
      <c r="P11" s="20">
        <f>IF(NOT(OR(B11&lt;&gt;"",C11&lt;&gt;"",D11&lt;&gt;"",E11&lt;&gt;"",F11&lt;&gt;"",G11&lt;&gt;"",H11&lt;&gt;"",I11&lt;&gt;"",J11&lt;&gt;"",K11&lt;&gt;"",N11&lt;&gt;"")),"",IF(AND(B11&lt;&gt;"",C11&lt;&gt;"",D11&lt;&gt;"",E11&lt;&gt;"",F11&lt;&gt;"",G11&lt;&gt;"",H11&lt;&gt;"",I11&lt;&gt;"",J11&lt;&gt;"",K11&lt;&gt;"",N11&lt;&gt;""),"✓ Completo","⚠ Faltan datos"))</f>
        <v/>
      </c>
      <c r="Q11" s="16" t="n"/>
    </row>
    <row r="12" ht="21" customHeight="1">
      <c r="A12" s="21" t="n">
        <v>6</v>
      </c>
      <c r="B12" s="22" t="n"/>
      <c r="C12" s="22" t="n"/>
      <c r="D12" s="22" t="n"/>
      <c r="E12" s="22" t="n"/>
      <c r="F12" s="23" t="n"/>
      <c r="G12" s="22" t="n"/>
      <c r="H12" s="24" t="n"/>
      <c r="I12" s="25" t="n"/>
      <c r="J12" s="25" t="n"/>
      <c r="K12" s="26" t="n"/>
      <c r="L12" s="22" t="n"/>
      <c r="M12" s="22" t="n"/>
      <c r="N12" s="24" t="n"/>
      <c r="O12" s="19">
        <f>IFERROR(IF(N12="","",IF(MAX(IFERROR(INDEX(Tarifas!$B$3:$F$65,MATCH(K12,Tarifas!$A$3:$A$65,0),MATCH(N12,Tarifas!$B$2:$F$2,0)),0),IFERROR(INDEX(Tarifas!$B$3:$F$65,MATCH(L12,Tarifas!$A$3:$A$65,0),MATCH(N12,Tarifas!$B$2:$F$2,0)),0),IFERROR(INDEX(Tarifas!$B$3:$F$65,MATCH(M12,Tarifas!$A$3:$A$65,0),MATCH(N12,Tarifas!$B$2:$F$2,0)),0))=0,"",MAX(IFERROR(INDEX(Tarifas!$B$3:$F$65,MATCH(K12,Tarifas!$A$3:$A$65,0),MATCH(N12,Tarifas!$B$2:$F$2,0)),0),IFERROR(INDEX(Tarifas!$B$3:$F$65,MATCH(L12,Tarifas!$A$3:$A$65,0),MATCH(N12,Tarifas!$B$2:$F$2,0)),0),IFERROR(INDEX(Tarifas!$B$3:$F$65,MATCH(M12,Tarifas!$A$3:$A$65,0),MATCH(N12,Tarifas!$B$2:$F$2,0)),0)))),"")</f>
        <v/>
      </c>
      <c r="P12" s="27">
        <f>IF(NOT(OR(B12&lt;&gt;"",C12&lt;&gt;"",D12&lt;&gt;"",E12&lt;&gt;"",F12&lt;&gt;"",G12&lt;&gt;"",H12&lt;&gt;"",I12&lt;&gt;"",J12&lt;&gt;"",K12&lt;&gt;"",N12&lt;&gt;"")),"",IF(AND(B12&lt;&gt;"",C12&lt;&gt;"",D12&lt;&gt;"",E12&lt;&gt;"",F12&lt;&gt;"",G12&lt;&gt;"",H12&lt;&gt;"",I12&lt;&gt;"",J12&lt;&gt;"",K12&lt;&gt;"",N12&lt;&gt;""),"✓ Completo","⚠ Faltan datos"))</f>
        <v/>
      </c>
      <c r="Q12" s="24" t="n"/>
    </row>
    <row r="13" ht="21" customHeight="1">
      <c r="A13" s="13" t="n">
        <v>7</v>
      </c>
      <c r="B13" s="14" t="n"/>
      <c r="C13" s="14" t="n"/>
      <c r="D13" s="14" t="n"/>
      <c r="E13" s="14" t="n"/>
      <c r="F13" s="15" t="n"/>
      <c r="G13" s="14" t="n"/>
      <c r="H13" s="16" t="n"/>
      <c r="I13" s="17" t="n"/>
      <c r="J13" s="17" t="n"/>
      <c r="K13" s="18" t="n"/>
      <c r="L13" s="14" t="n"/>
      <c r="M13" s="14" t="n"/>
      <c r="N13" s="16" t="n"/>
      <c r="O13" s="19">
        <f>IFERROR(IF(N13="","",IF(MAX(IFERROR(INDEX(Tarifas!$B$3:$F$65,MATCH(K13,Tarifas!$A$3:$A$65,0),MATCH(N13,Tarifas!$B$2:$F$2,0)),0),IFERROR(INDEX(Tarifas!$B$3:$F$65,MATCH(L13,Tarifas!$A$3:$A$65,0),MATCH(N13,Tarifas!$B$2:$F$2,0)),0),IFERROR(INDEX(Tarifas!$B$3:$F$65,MATCH(M13,Tarifas!$A$3:$A$65,0),MATCH(N13,Tarifas!$B$2:$F$2,0)),0))=0,"",MAX(IFERROR(INDEX(Tarifas!$B$3:$F$65,MATCH(K13,Tarifas!$A$3:$A$65,0),MATCH(N13,Tarifas!$B$2:$F$2,0)),0),IFERROR(INDEX(Tarifas!$B$3:$F$65,MATCH(L13,Tarifas!$A$3:$A$65,0),MATCH(N13,Tarifas!$B$2:$F$2,0)),0),IFERROR(INDEX(Tarifas!$B$3:$F$65,MATCH(M13,Tarifas!$A$3:$A$65,0),MATCH(N13,Tarifas!$B$2:$F$2,0)),0)))),"")</f>
        <v/>
      </c>
      <c r="P13" s="20">
        <f>IF(NOT(OR(B13&lt;&gt;"",C13&lt;&gt;"",D13&lt;&gt;"",E13&lt;&gt;"",F13&lt;&gt;"",G13&lt;&gt;"",H13&lt;&gt;"",I13&lt;&gt;"",J13&lt;&gt;"",K13&lt;&gt;"",N13&lt;&gt;"")),"",IF(AND(B13&lt;&gt;"",C13&lt;&gt;"",D13&lt;&gt;"",E13&lt;&gt;"",F13&lt;&gt;"",G13&lt;&gt;"",H13&lt;&gt;"",I13&lt;&gt;"",J13&lt;&gt;"",K13&lt;&gt;"",N13&lt;&gt;""),"✓ Completo","⚠ Faltan datos"))</f>
        <v/>
      </c>
      <c r="Q13" s="16" t="n"/>
    </row>
    <row r="14" ht="21" customHeight="1">
      <c r="A14" s="21" t="n">
        <v>8</v>
      </c>
      <c r="B14" s="22" t="n"/>
      <c r="C14" s="22" t="n"/>
      <c r="D14" s="22" t="n"/>
      <c r="E14" s="22" t="n"/>
      <c r="F14" s="23" t="n"/>
      <c r="G14" s="22" t="n"/>
      <c r="H14" s="24" t="n"/>
      <c r="I14" s="25" t="n"/>
      <c r="J14" s="25" t="n"/>
      <c r="K14" s="26" t="n"/>
      <c r="L14" s="22" t="n"/>
      <c r="M14" s="22" t="n"/>
      <c r="N14" s="24" t="n"/>
      <c r="O14" s="19">
        <f>IFERROR(IF(N14="","",IF(MAX(IFERROR(INDEX(Tarifas!$B$3:$F$65,MATCH(K14,Tarifas!$A$3:$A$65,0),MATCH(N14,Tarifas!$B$2:$F$2,0)),0),IFERROR(INDEX(Tarifas!$B$3:$F$65,MATCH(L14,Tarifas!$A$3:$A$65,0),MATCH(N14,Tarifas!$B$2:$F$2,0)),0),IFERROR(INDEX(Tarifas!$B$3:$F$65,MATCH(M14,Tarifas!$A$3:$A$65,0),MATCH(N14,Tarifas!$B$2:$F$2,0)),0))=0,"",MAX(IFERROR(INDEX(Tarifas!$B$3:$F$65,MATCH(K14,Tarifas!$A$3:$A$65,0),MATCH(N14,Tarifas!$B$2:$F$2,0)),0),IFERROR(INDEX(Tarifas!$B$3:$F$65,MATCH(L14,Tarifas!$A$3:$A$65,0),MATCH(N14,Tarifas!$B$2:$F$2,0)),0),IFERROR(INDEX(Tarifas!$B$3:$F$65,MATCH(M14,Tarifas!$A$3:$A$65,0),MATCH(N14,Tarifas!$B$2:$F$2,0)),0)))),"")</f>
        <v/>
      </c>
      <c r="P14" s="27">
        <f>IF(NOT(OR(B14&lt;&gt;"",C14&lt;&gt;"",D14&lt;&gt;"",E14&lt;&gt;"",F14&lt;&gt;"",G14&lt;&gt;"",H14&lt;&gt;"",I14&lt;&gt;"",J14&lt;&gt;"",K14&lt;&gt;"",N14&lt;&gt;"")),"",IF(AND(B14&lt;&gt;"",C14&lt;&gt;"",D14&lt;&gt;"",E14&lt;&gt;"",F14&lt;&gt;"",G14&lt;&gt;"",H14&lt;&gt;"",I14&lt;&gt;"",J14&lt;&gt;"",K14&lt;&gt;"",N14&lt;&gt;""),"✓ Completo","⚠ Faltan datos"))</f>
        <v/>
      </c>
      <c r="Q14" s="24" t="n"/>
    </row>
    <row r="15" ht="21" customHeight="1">
      <c r="A15" s="13" t="n">
        <v>9</v>
      </c>
      <c r="B15" s="14" t="n"/>
      <c r="C15" s="14" t="n"/>
      <c r="D15" s="14" t="n"/>
      <c r="E15" s="14" t="n"/>
      <c r="F15" s="15" t="n"/>
      <c r="G15" s="14" t="n"/>
      <c r="H15" s="16" t="n"/>
      <c r="I15" s="17" t="n"/>
      <c r="J15" s="17" t="n"/>
      <c r="K15" s="18" t="n"/>
      <c r="L15" s="14" t="n"/>
      <c r="M15" s="14" t="n"/>
      <c r="N15" s="16" t="n"/>
      <c r="O15" s="19">
        <f>IFERROR(IF(N15="","",IF(MAX(IFERROR(INDEX(Tarifas!$B$3:$F$65,MATCH(K15,Tarifas!$A$3:$A$65,0),MATCH(N15,Tarifas!$B$2:$F$2,0)),0),IFERROR(INDEX(Tarifas!$B$3:$F$65,MATCH(L15,Tarifas!$A$3:$A$65,0),MATCH(N15,Tarifas!$B$2:$F$2,0)),0),IFERROR(INDEX(Tarifas!$B$3:$F$65,MATCH(M15,Tarifas!$A$3:$A$65,0),MATCH(N15,Tarifas!$B$2:$F$2,0)),0))=0,"",MAX(IFERROR(INDEX(Tarifas!$B$3:$F$65,MATCH(K15,Tarifas!$A$3:$A$65,0),MATCH(N15,Tarifas!$B$2:$F$2,0)),0),IFERROR(INDEX(Tarifas!$B$3:$F$65,MATCH(L15,Tarifas!$A$3:$A$65,0),MATCH(N15,Tarifas!$B$2:$F$2,0)),0),IFERROR(INDEX(Tarifas!$B$3:$F$65,MATCH(M15,Tarifas!$A$3:$A$65,0),MATCH(N15,Tarifas!$B$2:$F$2,0)),0)))),"")</f>
        <v/>
      </c>
      <c r="P15" s="20">
        <f>IF(NOT(OR(B15&lt;&gt;"",C15&lt;&gt;"",D15&lt;&gt;"",E15&lt;&gt;"",F15&lt;&gt;"",G15&lt;&gt;"",H15&lt;&gt;"",I15&lt;&gt;"",J15&lt;&gt;"",K15&lt;&gt;"",N15&lt;&gt;"")),"",IF(AND(B15&lt;&gt;"",C15&lt;&gt;"",D15&lt;&gt;"",E15&lt;&gt;"",F15&lt;&gt;"",G15&lt;&gt;"",H15&lt;&gt;"",I15&lt;&gt;"",J15&lt;&gt;"",K15&lt;&gt;"",N15&lt;&gt;""),"✓ Completo","⚠ Faltan datos"))</f>
        <v/>
      </c>
      <c r="Q15" s="16" t="n"/>
    </row>
    <row r="16" ht="21" customHeight="1">
      <c r="A16" s="21" t="n">
        <v>10</v>
      </c>
      <c r="B16" s="22" t="n"/>
      <c r="C16" s="22" t="n"/>
      <c r="D16" s="22" t="n"/>
      <c r="E16" s="22" t="n"/>
      <c r="F16" s="23" t="n"/>
      <c r="G16" s="22" t="n"/>
      <c r="H16" s="24" t="n"/>
      <c r="I16" s="25" t="n"/>
      <c r="J16" s="25" t="n"/>
      <c r="K16" s="26" t="n"/>
      <c r="L16" s="22" t="n"/>
      <c r="M16" s="22" t="n"/>
      <c r="N16" s="24" t="n"/>
      <c r="O16" s="19">
        <f>IFERROR(IF(N16="","",IF(MAX(IFERROR(INDEX(Tarifas!$B$3:$F$65,MATCH(K16,Tarifas!$A$3:$A$65,0),MATCH(N16,Tarifas!$B$2:$F$2,0)),0),IFERROR(INDEX(Tarifas!$B$3:$F$65,MATCH(L16,Tarifas!$A$3:$A$65,0),MATCH(N16,Tarifas!$B$2:$F$2,0)),0),IFERROR(INDEX(Tarifas!$B$3:$F$65,MATCH(M16,Tarifas!$A$3:$A$65,0),MATCH(N16,Tarifas!$B$2:$F$2,0)),0))=0,"",MAX(IFERROR(INDEX(Tarifas!$B$3:$F$65,MATCH(K16,Tarifas!$A$3:$A$65,0),MATCH(N16,Tarifas!$B$2:$F$2,0)),0),IFERROR(INDEX(Tarifas!$B$3:$F$65,MATCH(L16,Tarifas!$A$3:$A$65,0),MATCH(N16,Tarifas!$B$2:$F$2,0)),0),IFERROR(INDEX(Tarifas!$B$3:$F$65,MATCH(M16,Tarifas!$A$3:$A$65,0),MATCH(N16,Tarifas!$B$2:$F$2,0)),0)))),"")</f>
        <v/>
      </c>
      <c r="P16" s="27">
        <f>IF(NOT(OR(B16&lt;&gt;"",C16&lt;&gt;"",D16&lt;&gt;"",E16&lt;&gt;"",F16&lt;&gt;"",G16&lt;&gt;"",H16&lt;&gt;"",I16&lt;&gt;"",J16&lt;&gt;"",K16&lt;&gt;"",N16&lt;&gt;"")),"",IF(AND(B16&lt;&gt;"",C16&lt;&gt;"",D16&lt;&gt;"",E16&lt;&gt;"",F16&lt;&gt;"",G16&lt;&gt;"",H16&lt;&gt;"",I16&lt;&gt;"",J16&lt;&gt;"",K16&lt;&gt;"",N16&lt;&gt;""),"✓ Completo","⚠ Faltan datos"))</f>
        <v/>
      </c>
      <c r="Q16" s="24" t="n"/>
    </row>
    <row r="17" ht="21" customHeight="1">
      <c r="A17" s="13" t="n">
        <v>11</v>
      </c>
      <c r="B17" s="14" t="n"/>
      <c r="C17" s="14" t="n"/>
      <c r="D17" s="14" t="n"/>
      <c r="E17" s="14" t="n"/>
      <c r="F17" s="15" t="n"/>
      <c r="G17" s="14" t="n"/>
      <c r="H17" s="16" t="n"/>
      <c r="I17" s="17" t="n"/>
      <c r="J17" s="17" t="n"/>
      <c r="K17" s="18" t="n"/>
      <c r="L17" s="14" t="n"/>
      <c r="M17" s="14" t="n"/>
      <c r="N17" s="16" t="n"/>
      <c r="O17" s="19">
        <f>IFERROR(IF(N17="","",IF(MAX(IFERROR(INDEX(Tarifas!$B$3:$F$65,MATCH(K17,Tarifas!$A$3:$A$65,0),MATCH(N17,Tarifas!$B$2:$F$2,0)),0),IFERROR(INDEX(Tarifas!$B$3:$F$65,MATCH(L17,Tarifas!$A$3:$A$65,0),MATCH(N17,Tarifas!$B$2:$F$2,0)),0),IFERROR(INDEX(Tarifas!$B$3:$F$65,MATCH(M17,Tarifas!$A$3:$A$65,0),MATCH(N17,Tarifas!$B$2:$F$2,0)),0))=0,"",MAX(IFERROR(INDEX(Tarifas!$B$3:$F$65,MATCH(K17,Tarifas!$A$3:$A$65,0),MATCH(N17,Tarifas!$B$2:$F$2,0)),0),IFERROR(INDEX(Tarifas!$B$3:$F$65,MATCH(L17,Tarifas!$A$3:$A$65,0),MATCH(N17,Tarifas!$B$2:$F$2,0)),0),IFERROR(INDEX(Tarifas!$B$3:$F$65,MATCH(M17,Tarifas!$A$3:$A$65,0),MATCH(N17,Tarifas!$B$2:$F$2,0)),0)))),"")</f>
        <v/>
      </c>
      <c r="P17" s="20">
        <f>IF(NOT(OR(B17&lt;&gt;"",C17&lt;&gt;"",D17&lt;&gt;"",E17&lt;&gt;"",F17&lt;&gt;"",G17&lt;&gt;"",H17&lt;&gt;"",I17&lt;&gt;"",J17&lt;&gt;"",K17&lt;&gt;"",N17&lt;&gt;"")),"",IF(AND(B17&lt;&gt;"",C17&lt;&gt;"",D17&lt;&gt;"",E17&lt;&gt;"",F17&lt;&gt;"",G17&lt;&gt;"",H17&lt;&gt;"",I17&lt;&gt;"",J17&lt;&gt;"",K17&lt;&gt;"",N17&lt;&gt;""),"✓ Completo","⚠ Faltan datos"))</f>
        <v/>
      </c>
      <c r="Q17" s="16" t="n"/>
    </row>
    <row r="18" ht="21" customHeight="1">
      <c r="A18" s="21" t="n">
        <v>12</v>
      </c>
      <c r="B18" s="22" t="n"/>
      <c r="C18" s="22" t="n"/>
      <c r="D18" s="22" t="n"/>
      <c r="E18" s="22" t="n"/>
      <c r="F18" s="23" t="n"/>
      <c r="G18" s="22" t="n"/>
      <c r="H18" s="24" t="n"/>
      <c r="I18" s="25" t="n"/>
      <c r="J18" s="25" t="n"/>
      <c r="K18" s="26" t="n"/>
      <c r="L18" s="22" t="n"/>
      <c r="M18" s="22" t="n"/>
      <c r="N18" s="24" t="n"/>
      <c r="O18" s="19">
        <f>IFERROR(IF(N18="","",IF(MAX(IFERROR(INDEX(Tarifas!$B$3:$F$65,MATCH(K18,Tarifas!$A$3:$A$65,0),MATCH(N18,Tarifas!$B$2:$F$2,0)),0),IFERROR(INDEX(Tarifas!$B$3:$F$65,MATCH(L18,Tarifas!$A$3:$A$65,0),MATCH(N18,Tarifas!$B$2:$F$2,0)),0),IFERROR(INDEX(Tarifas!$B$3:$F$65,MATCH(M18,Tarifas!$A$3:$A$65,0),MATCH(N18,Tarifas!$B$2:$F$2,0)),0))=0,"",MAX(IFERROR(INDEX(Tarifas!$B$3:$F$65,MATCH(K18,Tarifas!$A$3:$A$65,0),MATCH(N18,Tarifas!$B$2:$F$2,0)),0),IFERROR(INDEX(Tarifas!$B$3:$F$65,MATCH(L18,Tarifas!$A$3:$A$65,0),MATCH(N18,Tarifas!$B$2:$F$2,0)),0),IFERROR(INDEX(Tarifas!$B$3:$F$65,MATCH(M18,Tarifas!$A$3:$A$65,0),MATCH(N18,Tarifas!$B$2:$F$2,0)),0)))),"")</f>
        <v/>
      </c>
      <c r="P18" s="27">
        <f>IF(NOT(OR(B18&lt;&gt;"",C18&lt;&gt;"",D18&lt;&gt;"",E18&lt;&gt;"",F18&lt;&gt;"",G18&lt;&gt;"",H18&lt;&gt;"",I18&lt;&gt;"",J18&lt;&gt;"",K18&lt;&gt;"",N18&lt;&gt;"")),"",IF(AND(B18&lt;&gt;"",C18&lt;&gt;"",D18&lt;&gt;"",E18&lt;&gt;"",F18&lt;&gt;"",G18&lt;&gt;"",H18&lt;&gt;"",I18&lt;&gt;"",J18&lt;&gt;"",K18&lt;&gt;"",N18&lt;&gt;""),"✓ Completo","⚠ Faltan datos"))</f>
        <v/>
      </c>
      <c r="Q18" s="24" t="n"/>
    </row>
    <row r="19" ht="21" customHeight="1">
      <c r="A19" s="13" t="n">
        <v>13</v>
      </c>
      <c r="B19" s="14" t="n"/>
      <c r="C19" s="14" t="n"/>
      <c r="D19" s="14" t="n"/>
      <c r="E19" s="14" t="n"/>
      <c r="F19" s="15" t="n"/>
      <c r="G19" s="14" t="n"/>
      <c r="H19" s="16" t="n"/>
      <c r="I19" s="17" t="n"/>
      <c r="J19" s="17" t="n"/>
      <c r="K19" s="18" t="n"/>
      <c r="L19" s="14" t="n"/>
      <c r="M19" s="14" t="n"/>
      <c r="N19" s="16" t="n"/>
      <c r="O19" s="19">
        <f>IFERROR(IF(N19="","",IF(MAX(IFERROR(INDEX(Tarifas!$B$3:$F$65,MATCH(K19,Tarifas!$A$3:$A$65,0),MATCH(N19,Tarifas!$B$2:$F$2,0)),0),IFERROR(INDEX(Tarifas!$B$3:$F$65,MATCH(L19,Tarifas!$A$3:$A$65,0),MATCH(N19,Tarifas!$B$2:$F$2,0)),0),IFERROR(INDEX(Tarifas!$B$3:$F$65,MATCH(M19,Tarifas!$A$3:$A$65,0),MATCH(N19,Tarifas!$B$2:$F$2,0)),0))=0,"",MAX(IFERROR(INDEX(Tarifas!$B$3:$F$65,MATCH(K19,Tarifas!$A$3:$A$65,0),MATCH(N19,Tarifas!$B$2:$F$2,0)),0),IFERROR(INDEX(Tarifas!$B$3:$F$65,MATCH(L19,Tarifas!$A$3:$A$65,0),MATCH(N19,Tarifas!$B$2:$F$2,0)),0),IFERROR(INDEX(Tarifas!$B$3:$F$65,MATCH(M19,Tarifas!$A$3:$A$65,0),MATCH(N19,Tarifas!$B$2:$F$2,0)),0)))),"")</f>
        <v/>
      </c>
      <c r="P19" s="20">
        <f>IF(NOT(OR(B19&lt;&gt;"",C19&lt;&gt;"",D19&lt;&gt;"",E19&lt;&gt;"",F19&lt;&gt;"",G19&lt;&gt;"",H19&lt;&gt;"",I19&lt;&gt;"",J19&lt;&gt;"",K19&lt;&gt;"",N19&lt;&gt;"")),"",IF(AND(B19&lt;&gt;"",C19&lt;&gt;"",D19&lt;&gt;"",E19&lt;&gt;"",F19&lt;&gt;"",G19&lt;&gt;"",H19&lt;&gt;"",I19&lt;&gt;"",J19&lt;&gt;"",K19&lt;&gt;"",N19&lt;&gt;""),"✓ Completo","⚠ Faltan datos"))</f>
        <v/>
      </c>
      <c r="Q19" s="16" t="n"/>
    </row>
    <row r="20" ht="21" customHeight="1">
      <c r="A20" s="21" t="n">
        <v>14</v>
      </c>
      <c r="B20" s="22" t="n"/>
      <c r="C20" s="22" t="n"/>
      <c r="D20" s="22" t="n"/>
      <c r="E20" s="22" t="n"/>
      <c r="F20" s="23" t="n"/>
      <c r="G20" s="22" t="n"/>
      <c r="H20" s="24" t="n"/>
      <c r="I20" s="25" t="n"/>
      <c r="J20" s="25" t="n"/>
      <c r="K20" s="26" t="n"/>
      <c r="L20" s="22" t="n"/>
      <c r="M20" s="22" t="n"/>
      <c r="N20" s="24" t="n"/>
      <c r="O20" s="19">
        <f>IFERROR(IF(N20="","",IF(MAX(IFERROR(INDEX(Tarifas!$B$3:$F$65,MATCH(K20,Tarifas!$A$3:$A$65,0),MATCH(N20,Tarifas!$B$2:$F$2,0)),0),IFERROR(INDEX(Tarifas!$B$3:$F$65,MATCH(L20,Tarifas!$A$3:$A$65,0),MATCH(N20,Tarifas!$B$2:$F$2,0)),0),IFERROR(INDEX(Tarifas!$B$3:$F$65,MATCH(M20,Tarifas!$A$3:$A$65,0),MATCH(N20,Tarifas!$B$2:$F$2,0)),0))=0,"",MAX(IFERROR(INDEX(Tarifas!$B$3:$F$65,MATCH(K20,Tarifas!$A$3:$A$65,0),MATCH(N20,Tarifas!$B$2:$F$2,0)),0),IFERROR(INDEX(Tarifas!$B$3:$F$65,MATCH(L20,Tarifas!$A$3:$A$65,0),MATCH(N20,Tarifas!$B$2:$F$2,0)),0),IFERROR(INDEX(Tarifas!$B$3:$F$65,MATCH(M20,Tarifas!$A$3:$A$65,0),MATCH(N20,Tarifas!$B$2:$F$2,0)),0)))),"")</f>
        <v/>
      </c>
      <c r="P20" s="27">
        <f>IF(NOT(OR(B20&lt;&gt;"",C20&lt;&gt;"",D20&lt;&gt;"",E20&lt;&gt;"",F20&lt;&gt;"",G20&lt;&gt;"",H20&lt;&gt;"",I20&lt;&gt;"",J20&lt;&gt;"",K20&lt;&gt;"",N20&lt;&gt;"")),"",IF(AND(B20&lt;&gt;"",C20&lt;&gt;"",D20&lt;&gt;"",E20&lt;&gt;"",F20&lt;&gt;"",G20&lt;&gt;"",H20&lt;&gt;"",I20&lt;&gt;"",J20&lt;&gt;"",K20&lt;&gt;"",N20&lt;&gt;""),"✓ Completo","⚠ Faltan datos"))</f>
        <v/>
      </c>
      <c r="Q20" s="24" t="n"/>
    </row>
    <row r="21" ht="21" customHeight="1">
      <c r="A21" s="13" t="n">
        <v>15</v>
      </c>
      <c r="B21" s="14" t="n"/>
      <c r="C21" s="14" t="n"/>
      <c r="D21" s="14" t="n"/>
      <c r="E21" s="14" t="n"/>
      <c r="F21" s="15" t="n"/>
      <c r="G21" s="14" t="n"/>
      <c r="H21" s="16" t="n"/>
      <c r="I21" s="17" t="n"/>
      <c r="J21" s="17" t="n"/>
      <c r="K21" s="18" t="n"/>
      <c r="L21" s="14" t="n"/>
      <c r="M21" s="14" t="n"/>
      <c r="N21" s="16" t="n"/>
      <c r="O21" s="19">
        <f>IFERROR(IF(N21="","",IF(MAX(IFERROR(INDEX(Tarifas!$B$3:$F$65,MATCH(K21,Tarifas!$A$3:$A$65,0),MATCH(N21,Tarifas!$B$2:$F$2,0)),0),IFERROR(INDEX(Tarifas!$B$3:$F$65,MATCH(L21,Tarifas!$A$3:$A$65,0),MATCH(N21,Tarifas!$B$2:$F$2,0)),0),IFERROR(INDEX(Tarifas!$B$3:$F$65,MATCH(M21,Tarifas!$A$3:$A$65,0),MATCH(N21,Tarifas!$B$2:$F$2,0)),0))=0,"",MAX(IFERROR(INDEX(Tarifas!$B$3:$F$65,MATCH(K21,Tarifas!$A$3:$A$65,0),MATCH(N21,Tarifas!$B$2:$F$2,0)),0),IFERROR(INDEX(Tarifas!$B$3:$F$65,MATCH(L21,Tarifas!$A$3:$A$65,0),MATCH(N21,Tarifas!$B$2:$F$2,0)),0),IFERROR(INDEX(Tarifas!$B$3:$F$65,MATCH(M21,Tarifas!$A$3:$A$65,0),MATCH(N21,Tarifas!$B$2:$F$2,0)),0)))),"")</f>
        <v/>
      </c>
      <c r="P21" s="20">
        <f>IF(NOT(OR(B21&lt;&gt;"",C21&lt;&gt;"",D21&lt;&gt;"",E21&lt;&gt;"",F21&lt;&gt;"",G21&lt;&gt;"",H21&lt;&gt;"",I21&lt;&gt;"",J21&lt;&gt;"",K21&lt;&gt;"",N21&lt;&gt;"")),"",IF(AND(B21&lt;&gt;"",C21&lt;&gt;"",D21&lt;&gt;"",E21&lt;&gt;"",F21&lt;&gt;"",G21&lt;&gt;"",H21&lt;&gt;"",I21&lt;&gt;"",J21&lt;&gt;"",K21&lt;&gt;"",N21&lt;&gt;""),"✓ Completo","⚠ Faltan datos"))</f>
        <v/>
      </c>
      <c r="Q21" s="16" t="n"/>
    </row>
    <row r="22" ht="21" customHeight="1">
      <c r="A22" s="21" t="n">
        <v>16</v>
      </c>
      <c r="B22" s="22" t="n"/>
      <c r="C22" s="22" t="n"/>
      <c r="D22" s="22" t="n"/>
      <c r="E22" s="22" t="n"/>
      <c r="F22" s="23" t="n"/>
      <c r="G22" s="22" t="n"/>
      <c r="H22" s="24" t="n"/>
      <c r="I22" s="25" t="n"/>
      <c r="J22" s="25" t="n"/>
      <c r="K22" s="26" t="n"/>
      <c r="L22" s="22" t="n"/>
      <c r="M22" s="22" t="n"/>
      <c r="N22" s="24" t="n"/>
      <c r="O22" s="19">
        <f>IFERROR(IF(N22="","",IF(MAX(IFERROR(INDEX(Tarifas!$B$3:$F$65,MATCH(K22,Tarifas!$A$3:$A$65,0),MATCH(N22,Tarifas!$B$2:$F$2,0)),0),IFERROR(INDEX(Tarifas!$B$3:$F$65,MATCH(L22,Tarifas!$A$3:$A$65,0),MATCH(N22,Tarifas!$B$2:$F$2,0)),0),IFERROR(INDEX(Tarifas!$B$3:$F$65,MATCH(M22,Tarifas!$A$3:$A$65,0),MATCH(N22,Tarifas!$B$2:$F$2,0)),0))=0,"",MAX(IFERROR(INDEX(Tarifas!$B$3:$F$65,MATCH(K22,Tarifas!$A$3:$A$65,0),MATCH(N22,Tarifas!$B$2:$F$2,0)),0),IFERROR(INDEX(Tarifas!$B$3:$F$65,MATCH(L22,Tarifas!$A$3:$A$65,0),MATCH(N22,Tarifas!$B$2:$F$2,0)),0),IFERROR(INDEX(Tarifas!$B$3:$F$65,MATCH(M22,Tarifas!$A$3:$A$65,0),MATCH(N22,Tarifas!$B$2:$F$2,0)),0)))),"")</f>
        <v/>
      </c>
      <c r="P22" s="27">
        <f>IF(NOT(OR(B22&lt;&gt;"",C22&lt;&gt;"",D22&lt;&gt;"",E22&lt;&gt;"",F22&lt;&gt;"",G22&lt;&gt;"",H22&lt;&gt;"",I22&lt;&gt;"",J22&lt;&gt;"",K22&lt;&gt;"",N22&lt;&gt;"")),"",IF(AND(B22&lt;&gt;"",C22&lt;&gt;"",D22&lt;&gt;"",E22&lt;&gt;"",F22&lt;&gt;"",G22&lt;&gt;"",H22&lt;&gt;"",I22&lt;&gt;"",J22&lt;&gt;"",K22&lt;&gt;"",N22&lt;&gt;""),"✓ Completo","⚠ Faltan datos"))</f>
        <v/>
      </c>
      <c r="Q22" s="24" t="n"/>
    </row>
    <row r="23" ht="21" customHeight="1">
      <c r="A23" s="13" t="n">
        <v>17</v>
      </c>
      <c r="B23" s="14" t="n"/>
      <c r="C23" s="14" t="n"/>
      <c r="D23" s="14" t="n"/>
      <c r="E23" s="14" t="n"/>
      <c r="F23" s="15" t="n"/>
      <c r="G23" s="14" t="n"/>
      <c r="H23" s="16" t="n"/>
      <c r="I23" s="17" t="n"/>
      <c r="J23" s="17" t="n"/>
      <c r="K23" s="18" t="n"/>
      <c r="L23" s="14" t="n"/>
      <c r="M23" s="14" t="n"/>
      <c r="N23" s="16" t="n"/>
      <c r="O23" s="19">
        <f>IFERROR(IF(N23="","",IF(MAX(IFERROR(INDEX(Tarifas!$B$3:$F$65,MATCH(K23,Tarifas!$A$3:$A$65,0),MATCH(N23,Tarifas!$B$2:$F$2,0)),0),IFERROR(INDEX(Tarifas!$B$3:$F$65,MATCH(L23,Tarifas!$A$3:$A$65,0),MATCH(N23,Tarifas!$B$2:$F$2,0)),0),IFERROR(INDEX(Tarifas!$B$3:$F$65,MATCH(M23,Tarifas!$A$3:$A$65,0),MATCH(N23,Tarifas!$B$2:$F$2,0)),0))=0,"",MAX(IFERROR(INDEX(Tarifas!$B$3:$F$65,MATCH(K23,Tarifas!$A$3:$A$65,0),MATCH(N23,Tarifas!$B$2:$F$2,0)),0),IFERROR(INDEX(Tarifas!$B$3:$F$65,MATCH(L23,Tarifas!$A$3:$A$65,0),MATCH(N23,Tarifas!$B$2:$F$2,0)),0),IFERROR(INDEX(Tarifas!$B$3:$F$65,MATCH(M23,Tarifas!$A$3:$A$65,0),MATCH(N23,Tarifas!$B$2:$F$2,0)),0)))),"")</f>
        <v/>
      </c>
      <c r="P23" s="20">
        <f>IF(NOT(OR(B23&lt;&gt;"",C23&lt;&gt;"",D23&lt;&gt;"",E23&lt;&gt;"",F23&lt;&gt;"",G23&lt;&gt;"",H23&lt;&gt;"",I23&lt;&gt;"",J23&lt;&gt;"",K23&lt;&gt;"",N23&lt;&gt;"")),"",IF(AND(B23&lt;&gt;"",C23&lt;&gt;"",D23&lt;&gt;"",E23&lt;&gt;"",F23&lt;&gt;"",G23&lt;&gt;"",H23&lt;&gt;"",I23&lt;&gt;"",J23&lt;&gt;"",K23&lt;&gt;"",N23&lt;&gt;""),"✓ Completo","⚠ Faltan datos"))</f>
        <v/>
      </c>
      <c r="Q23" s="16" t="n"/>
    </row>
    <row r="24" ht="21" customHeight="1">
      <c r="A24" s="21" t="n">
        <v>18</v>
      </c>
      <c r="B24" s="22" t="n"/>
      <c r="C24" s="22" t="n"/>
      <c r="D24" s="22" t="n"/>
      <c r="E24" s="22" t="n"/>
      <c r="F24" s="23" t="n"/>
      <c r="G24" s="22" t="n"/>
      <c r="H24" s="24" t="n"/>
      <c r="I24" s="25" t="n"/>
      <c r="J24" s="25" t="n"/>
      <c r="K24" s="26" t="n"/>
      <c r="L24" s="22" t="n"/>
      <c r="M24" s="22" t="n"/>
      <c r="N24" s="24" t="n"/>
      <c r="O24" s="19">
        <f>IFERROR(IF(N24="","",IF(MAX(IFERROR(INDEX(Tarifas!$B$3:$F$65,MATCH(K24,Tarifas!$A$3:$A$65,0),MATCH(N24,Tarifas!$B$2:$F$2,0)),0),IFERROR(INDEX(Tarifas!$B$3:$F$65,MATCH(L24,Tarifas!$A$3:$A$65,0),MATCH(N24,Tarifas!$B$2:$F$2,0)),0),IFERROR(INDEX(Tarifas!$B$3:$F$65,MATCH(M24,Tarifas!$A$3:$A$65,0),MATCH(N24,Tarifas!$B$2:$F$2,0)),0))=0,"",MAX(IFERROR(INDEX(Tarifas!$B$3:$F$65,MATCH(K24,Tarifas!$A$3:$A$65,0),MATCH(N24,Tarifas!$B$2:$F$2,0)),0),IFERROR(INDEX(Tarifas!$B$3:$F$65,MATCH(L24,Tarifas!$A$3:$A$65,0),MATCH(N24,Tarifas!$B$2:$F$2,0)),0),IFERROR(INDEX(Tarifas!$B$3:$F$65,MATCH(M24,Tarifas!$A$3:$A$65,0),MATCH(N24,Tarifas!$B$2:$F$2,0)),0)))),"")</f>
        <v/>
      </c>
      <c r="P24" s="27">
        <f>IF(NOT(OR(B24&lt;&gt;"",C24&lt;&gt;"",D24&lt;&gt;"",E24&lt;&gt;"",F24&lt;&gt;"",G24&lt;&gt;"",H24&lt;&gt;"",I24&lt;&gt;"",J24&lt;&gt;"",K24&lt;&gt;"",N24&lt;&gt;"")),"",IF(AND(B24&lt;&gt;"",C24&lt;&gt;"",D24&lt;&gt;"",E24&lt;&gt;"",F24&lt;&gt;"",G24&lt;&gt;"",H24&lt;&gt;"",I24&lt;&gt;"",J24&lt;&gt;"",K24&lt;&gt;"",N24&lt;&gt;""),"✓ Completo","⚠ Faltan datos"))</f>
        <v/>
      </c>
      <c r="Q24" s="24" t="n"/>
    </row>
    <row r="25" ht="21" customHeight="1">
      <c r="A25" s="13" t="n">
        <v>19</v>
      </c>
      <c r="B25" s="14" t="n"/>
      <c r="C25" s="14" t="n"/>
      <c r="D25" s="14" t="n"/>
      <c r="E25" s="14" t="n"/>
      <c r="F25" s="15" t="n"/>
      <c r="G25" s="14" t="n"/>
      <c r="H25" s="16" t="n"/>
      <c r="I25" s="17" t="n"/>
      <c r="J25" s="17" t="n"/>
      <c r="K25" s="18" t="n"/>
      <c r="L25" s="14" t="n"/>
      <c r="M25" s="14" t="n"/>
      <c r="N25" s="16" t="n"/>
      <c r="O25" s="19">
        <f>IFERROR(IF(N25="","",IF(MAX(IFERROR(INDEX(Tarifas!$B$3:$F$65,MATCH(K25,Tarifas!$A$3:$A$65,0),MATCH(N25,Tarifas!$B$2:$F$2,0)),0),IFERROR(INDEX(Tarifas!$B$3:$F$65,MATCH(L25,Tarifas!$A$3:$A$65,0),MATCH(N25,Tarifas!$B$2:$F$2,0)),0),IFERROR(INDEX(Tarifas!$B$3:$F$65,MATCH(M25,Tarifas!$A$3:$A$65,0),MATCH(N25,Tarifas!$B$2:$F$2,0)),0))=0,"",MAX(IFERROR(INDEX(Tarifas!$B$3:$F$65,MATCH(K25,Tarifas!$A$3:$A$65,0),MATCH(N25,Tarifas!$B$2:$F$2,0)),0),IFERROR(INDEX(Tarifas!$B$3:$F$65,MATCH(L25,Tarifas!$A$3:$A$65,0),MATCH(N25,Tarifas!$B$2:$F$2,0)),0),IFERROR(INDEX(Tarifas!$B$3:$F$65,MATCH(M25,Tarifas!$A$3:$A$65,0),MATCH(N25,Tarifas!$B$2:$F$2,0)),0)))),"")</f>
        <v/>
      </c>
      <c r="P25" s="20">
        <f>IF(NOT(OR(B25&lt;&gt;"",C25&lt;&gt;"",D25&lt;&gt;"",E25&lt;&gt;"",F25&lt;&gt;"",G25&lt;&gt;"",H25&lt;&gt;"",I25&lt;&gt;"",J25&lt;&gt;"",K25&lt;&gt;"",N25&lt;&gt;"")),"",IF(AND(B25&lt;&gt;"",C25&lt;&gt;"",D25&lt;&gt;"",E25&lt;&gt;"",F25&lt;&gt;"",G25&lt;&gt;"",H25&lt;&gt;"",I25&lt;&gt;"",J25&lt;&gt;"",K25&lt;&gt;"",N25&lt;&gt;""),"✓ Completo","⚠ Faltan datos"))</f>
        <v/>
      </c>
      <c r="Q25" s="16" t="n"/>
    </row>
    <row r="26" ht="21" customHeight="1">
      <c r="A26" s="21" t="n">
        <v>20</v>
      </c>
      <c r="B26" s="22" t="n"/>
      <c r="C26" s="22" t="n"/>
      <c r="D26" s="22" t="n"/>
      <c r="E26" s="22" t="n"/>
      <c r="F26" s="23" t="n"/>
      <c r="G26" s="22" t="n"/>
      <c r="H26" s="24" t="n"/>
      <c r="I26" s="25" t="n"/>
      <c r="J26" s="25" t="n"/>
      <c r="K26" s="26" t="n"/>
      <c r="L26" s="22" t="n"/>
      <c r="M26" s="22" t="n"/>
      <c r="N26" s="24" t="n"/>
      <c r="O26" s="19">
        <f>IFERROR(IF(N26="","",IF(MAX(IFERROR(INDEX(Tarifas!$B$3:$F$65,MATCH(K26,Tarifas!$A$3:$A$65,0),MATCH(N26,Tarifas!$B$2:$F$2,0)),0),IFERROR(INDEX(Tarifas!$B$3:$F$65,MATCH(L26,Tarifas!$A$3:$A$65,0),MATCH(N26,Tarifas!$B$2:$F$2,0)),0),IFERROR(INDEX(Tarifas!$B$3:$F$65,MATCH(M26,Tarifas!$A$3:$A$65,0),MATCH(N26,Tarifas!$B$2:$F$2,0)),0))=0,"",MAX(IFERROR(INDEX(Tarifas!$B$3:$F$65,MATCH(K26,Tarifas!$A$3:$A$65,0),MATCH(N26,Tarifas!$B$2:$F$2,0)),0),IFERROR(INDEX(Tarifas!$B$3:$F$65,MATCH(L26,Tarifas!$A$3:$A$65,0),MATCH(N26,Tarifas!$B$2:$F$2,0)),0),IFERROR(INDEX(Tarifas!$B$3:$F$65,MATCH(M26,Tarifas!$A$3:$A$65,0),MATCH(N26,Tarifas!$B$2:$F$2,0)),0)))),"")</f>
        <v/>
      </c>
      <c r="P26" s="27">
        <f>IF(NOT(OR(B26&lt;&gt;"",C26&lt;&gt;"",D26&lt;&gt;"",E26&lt;&gt;"",F26&lt;&gt;"",G26&lt;&gt;"",H26&lt;&gt;"",I26&lt;&gt;"",J26&lt;&gt;"",K26&lt;&gt;"",N26&lt;&gt;"")),"",IF(AND(B26&lt;&gt;"",C26&lt;&gt;"",D26&lt;&gt;"",E26&lt;&gt;"",F26&lt;&gt;"",G26&lt;&gt;"",H26&lt;&gt;"",I26&lt;&gt;"",J26&lt;&gt;"",K26&lt;&gt;"",N26&lt;&gt;""),"✓ Completo","⚠ Faltan datos"))</f>
        <v/>
      </c>
      <c r="Q26" s="24" t="n"/>
    </row>
    <row r="27" ht="21" customHeight="1">
      <c r="A27" s="13" t="n">
        <v>21</v>
      </c>
      <c r="B27" s="14" t="n"/>
      <c r="C27" s="14" t="n"/>
      <c r="D27" s="14" t="n"/>
      <c r="E27" s="14" t="n"/>
      <c r="F27" s="15" t="n"/>
      <c r="G27" s="14" t="n"/>
      <c r="H27" s="16" t="n"/>
      <c r="I27" s="17" t="n"/>
      <c r="J27" s="17" t="n"/>
      <c r="K27" s="18" t="n"/>
      <c r="L27" s="14" t="n"/>
      <c r="M27" s="14" t="n"/>
      <c r="N27" s="16" t="n"/>
      <c r="O27" s="19">
        <f>IFERROR(IF(N27="","",IF(MAX(IFERROR(INDEX(Tarifas!$B$3:$F$65,MATCH(K27,Tarifas!$A$3:$A$65,0),MATCH(N27,Tarifas!$B$2:$F$2,0)),0),IFERROR(INDEX(Tarifas!$B$3:$F$65,MATCH(L27,Tarifas!$A$3:$A$65,0),MATCH(N27,Tarifas!$B$2:$F$2,0)),0),IFERROR(INDEX(Tarifas!$B$3:$F$65,MATCH(M27,Tarifas!$A$3:$A$65,0),MATCH(N27,Tarifas!$B$2:$F$2,0)),0))=0,"",MAX(IFERROR(INDEX(Tarifas!$B$3:$F$65,MATCH(K27,Tarifas!$A$3:$A$65,0),MATCH(N27,Tarifas!$B$2:$F$2,0)),0),IFERROR(INDEX(Tarifas!$B$3:$F$65,MATCH(L27,Tarifas!$A$3:$A$65,0),MATCH(N27,Tarifas!$B$2:$F$2,0)),0),IFERROR(INDEX(Tarifas!$B$3:$F$65,MATCH(M27,Tarifas!$A$3:$A$65,0),MATCH(N27,Tarifas!$B$2:$F$2,0)),0)))),"")</f>
        <v/>
      </c>
      <c r="P27" s="20">
        <f>IF(NOT(OR(B27&lt;&gt;"",C27&lt;&gt;"",D27&lt;&gt;"",E27&lt;&gt;"",F27&lt;&gt;"",G27&lt;&gt;"",H27&lt;&gt;"",I27&lt;&gt;"",J27&lt;&gt;"",K27&lt;&gt;"",N27&lt;&gt;"")),"",IF(AND(B27&lt;&gt;"",C27&lt;&gt;"",D27&lt;&gt;"",E27&lt;&gt;"",F27&lt;&gt;"",G27&lt;&gt;"",H27&lt;&gt;"",I27&lt;&gt;"",J27&lt;&gt;"",K27&lt;&gt;"",N27&lt;&gt;""),"✓ Completo","⚠ Faltan datos"))</f>
        <v/>
      </c>
      <c r="Q27" s="16" t="n"/>
    </row>
    <row r="28" ht="21" customHeight="1">
      <c r="A28" s="21" t="n">
        <v>22</v>
      </c>
      <c r="B28" s="22" t="n"/>
      <c r="C28" s="22" t="n"/>
      <c r="D28" s="22" t="n"/>
      <c r="E28" s="22" t="n"/>
      <c r="F28" s="23" t="n"/>
      <c r="G28" s="22" t="n"/>
      <c r="H28" s="24" t="n"/>
      <c r="I28" s="25" t="n"/>
      <c r="J28" s="25" t="n"/>
      <c r="K28" s="26" t="n"/>
      <c r="L28" s="22" t="n"/>
      <c r="M28" s="22" t="n"/>
      <c r="N28" s="24" t="n"/>
      <c r="O28" s="19">
        <f>IFERROR(IF(N28="","",IF(MAX(IFERROR(INDEX(Tarifas!$B$3:$F$65,MATCH(K28,Tarifas!$A$3:$A$65,0),MATCH(N28,Tarifas!$B$2:$F$2,0)),0),IFERROR(INDEX(Tarifas!$B$3:$F$65,MATCH(L28,Tarifas!$A$3:$A$65,0),MATCH(N28,Tarifas!$B$2:$F$2,0)),0),IFERROR(INDEX(Tarifas!$B$3:$F$65,MATCH(M28,Tarifas!$A$3:$A$65,0),MATCH(N28,Tarifas!$B$2:$F$2,0)),0))=0,"",MAX(IFERROR(INDEX(Tarifas!$B$3:$F$65,MATCH(K28,Tarifas!$A$3:$A$65,0),MATCH(N28,Tarifas!$B$2:$F$2,0)),0),IFERROR(INDEX(Tarifas!$B$3:$F$65,MATCH(L28,Tarifas!$A$3:$A$65,0),MATCH(N28,Tarifas!$B$2:$F$2,0)),0),IFERROR(INDEX(Tarifas!$B$3:$F$65,MATCH(M28,Tarifas!$A$3:$A$65,0),MATCH(N28,Tarifas!$B$2:$F$2,0)),0)))),"")</f>
        <v/>
      </c>
      <c r="P28" s="27">
        <f>IF(NOT(OR(B28&lt;&gt;"",C28&lt;&gt;"",D28&lt;&gt;"",E28&lt;&gt;"",F28&lt;&gt;"",G28&lt;&gt;"",H28&lt;&gt;"",I28&lt;&gt;"",J28&lt;&gt;"",K28&lt;&gt;"",N28&lt;&gt;"")),"",IF(AND(B28&lt;&gt;"",C28&lt;&gt;"",D28&lt;&gt;"",E28&lt;&gt;"",F28&lt;&gt;"",G28&lt;&gt;"",H28&lt;&gt;"",I28&lt;&gt;"",J28&lt;&gt;"",K28&lt;&gt;"",N28&lt;&gt;""),"✓ Completo","⚠ Faltan datos"))</f>
        <v/>
      </c>
      <c r="Q28" s="24" t="n"/>
    </row>
    <row r="29" ht="21" customHeight="1">
      <c r="A29" s="13" t="n">
        <v>23</v>
      </c>
      <c r="B29" s="14" t="n"/>
      <c r="C29" s="14" t="n"/>
      <c r="D29" s="14" t="n"/>
      <c r="E29" s="14" t="n"/>
      <c r="F29" s="15" t="n"/>
      <c r="G29" s="14" t="n"/>
      <c r="H29" s="16" t="n"/>
      <c r="I29" s="17" t="n"/>
      <c r="J29" s="17" t="n"/>
      <c r="K29" s="18" t="n"/>
      <c r="L29" s="14" t="n"/>
      <c r="M29" s="14" t="n"/>
      <c r="N29" s="16" t="n"/>
      <c r="O29" s="19">
        <f>IFERROR(IF(N29="","",IF(MAX(IFERROR(INDEX(Tarifas!$B$3:$F$65,MATCH(K29,Tarifas!$A$3:$A$65,0),MATCH(N29,Tarifas!$B$2:$F$2,0)),0),IFERROR(INDEX(Tarifas!$B$3:$F$65,MATCH(L29,Tarifas!$A$3:$A$65,0),MATCH(N29,Tarifas!$B$2:$F$2,0)),0),IFERROR(INDEX(Tarifas!$B$3:$F$65,MATCH(M29,Tarifas!$A$3:$A$65,0),MATCH(N29,Tarifas!$B$2:$F$2,0)),0))=0,"",MAX(IFERROR(INDEX(Tarifas!$B$3:$F$65,MATCH(K29,Tarifas!$A$3:$A$65,0),MATCH(N29,Tarifas!$B$2:$F$2,0)),0),IFERROR(INDEX(Tarifas!$B$3:$F$65,MATCH(L29,Tarifas!$A$3:$A$65,0),MATCH(N29,Tarifas!$B$2:$F$2,0)),0),IFERROR(INDEX(Tarifas!$B$3:$F$65,MATCH(M29,Tarifas!$A$3:$A$65,0),MATCH(N29,Tarifas!$B$2:$F$2,0)),0)))),"")</f>
        <v/>
      </c>
      <c r="P29" s="20">
        <f>IF(NOT(OR(B29&lt;&gt;"",C29&lt;&gt;"",D29&lt;&gt;"",E29&lt;&gt;"",F29&lt;&gt;"",G29&lt;&gt;"",H29&lt;&gt;"",I29&lt;&gt;"",J29&lt;&gt;"",K29&lt;&gt;"",N29&lt;&gt;"")),"",IF(AND(B29&lt;&gt;"",C29&lt;&gt;"",D29&lt;&gt;"",E29&lt;&gt;"",F29&lt;&gt;"",G29&lt;&gt;"",H29&lt;&gt;"",I29&lt;&gt;"",J29&lt;&gt;"",K29&lt;&gt;"",N29&lt;&gt;""),"✓ Completo","⚠ Faltan datos"))</f>
        <v/>
      </c>
      <c r="Q29" s="16" t="n"/>
    </row>
    <row r="30" ht="21" customHeight="1">
      <c r="A30" s="21" t="n">
        <v>24</v>
      </c>
      <c r="B30" s="22" t="n"/>
      <c r="C30" s="22" t="n"/>
      <c r="D30" s="22" t="n"/>
      <c r="E30" s="22" t="n"/>
      <c r="F30" s="23" t="n"/>
      <c r="G30" s="22" t="n"/>
      <c r="H30" s="24" t="n"/>
      <c r="I30" s="25" t="n"/>
      <c r="J30" s="25" t="n"/>
      <c r="K30" s="26" t="n"/>
      <c r="L30" s="22" t="n"/>
      <c r="M30" s="22" t="n"/>
      <c r="N30" s="24" t="n"/>
      <c r="O30" s="19">
        <f>IFERROR(IF(N30="","",IF(MAX(IFERROR(INDEX(Tarifas!$B$3:$F$65,MATCH(K30,Tarifas!$A$3:$A$65,0),MATCH(N30,Tarifas!$B$2:$F$2,0)),0),IFERROR(INDEX(Tarifas!$B$3:$F$65,MATCH(L30,Tarifas!$A$3:$A$65,0),MATCH(N30,Tarifas!$B$2:$F$2,0)),0),IFERROR(INDEX(Tarifas!$B$3:$F$65,MATCH(M30,Tarifas!$A$3:$A$65,0),MATCH(N30,Tarifas!$B$2:$F$2,0)),0))=0,"",MAX(IFERROR(INDEX(Tarifas!$B$3:$F$65,MATCH(K30,Tarifas!$A$3:$A$65,0),MATCH(N30,Tarifas!$B$2:$F$2,0)),0),IFERROR(INDEX(Tarifas!$B$3:$F$65,MATCH(L30,Tarifas!$A$3:$A$65,0),MATCH(N30,Tarifas!$B$2:$F$2,0)),0),IFERROR(INDEX(Tarifas!$B$3:$F$65,MATCH(M30,Tarifas!$A$3:$A$65,0),MATCH(N30,Tarifas!$B$2:$F$2,0)),0)))),"")</f>
        <v/>
      </c>
      <c r="P30" s="27">
        <f>IF(NOT(OR(B30&lt;&gt;"",C30&lt;&gt;"",D30&lt;&gt;"",E30&lt;&gt;"",F30&lt;&gt;"",G30&lt;&gt;"",H30&lt;&gt;"",I30&lt;&gt;"",J30&lt;&gt;"",K30&lt;&gt;"",N30&lt;&gt;"")),"",IF(AND(B30&lt;&gt;"",C30&lt;&gt;"",D30&lt;&gt;"",E30&lt;&gt;"",F30&lt;&gt;"",G30&lt;&gt;"",H30&lt;&gt;"",I30&lt;&gt;"",J30&lt;&gt;"",K30&lt;&gt;"",N30&lt;&gt;""),"✓ Completo","⚠ Faltan datos"))</f>
        <v/>
      </c>
      <c r="Q30" s="24" t="n"/>
    </row>
    <row r="31" ht="21" customHeight="1">
      <c r="A31" s="13" t="n">
        <v>25</v>
      </c>
      <c r="B31" s="14" t="n"/>
      <c r="C31" s="14" t="n"/>
      <c r="D31" s="14" t="n"/>
      <c r="E31" s="14" t="n"/>
      <c r="F31" s="15" t="n"/>
      <c r="G31" s="14" t="n"/>
      <c r="H31" s="16" t="n"/>
      <c r="I31" s="17" t="n"/>
      <c r="J31" s="17" t="n"/>
      <c r="K31" s="18" t="n"/>
      <c r="L31" s="14" t="n"/>
      <c r="M31" s="14" t="n"/>
      <c r="N31" s="16" t="n"/>
      <c r="O31" s="19">
        <f>IFERROR(IF(N31="","",IF(MAX(IFERROR(INDEX(Tarifas!$B$3:$F$65,MATCH(K31,Tarifas!$A$3:$A$65,0),MATCH(N31,Tarifas!$B$2:$F$2,0)),0),IFERROR(INDEX(Tarifas!$B$3:$F$65,MATCH(L31,Tarifas!$A$3:$A$65,0),MATCH(N31,Tarifas!$B$2:$F$2,0)),0),IFERROR(INDEX(Tarifas!$B$3:$F$65,MATCH(M31,Tarifas!$A$3:$A$65,0),MATCH(N31,Tarifas!$B$2:$F$2,0)),0))=0,"",MAX(IFERROR(INDEX(Tarifas!$B$3:$F$65,MATCH(K31,Tarifas!$A$3:$A$65,0),MATCH(N31,Tarifas!$B$2:$F$2,0)),0),IFERROR(INDEX(Tarifas!$B$3:$F$65,MATCH(L31,Tarifas!$A$3:$A$65,0),MATCH(N31,Tarifas!$B$2:$F$2,0)),0),IFERROR(INDEX(Tarifas!$B$3:$F$65,MATCH(M31,Tarifas!$A$3:$A$65,0),MATCH(N31,Tarifas!$B$2:$F$2,0)),0)))),"")</f>
        <v/>
      </c>
      <c r="P31" s="20">
        <f>IF(NOT(OR(B31&lt;&gt;"",C31&lt;&gt;"",D31&lt;&gt;"",E31&lt;&gt;"",F31&lt;&gt;"",G31&lt;&gt;"",H31&lt;&gt;"",I31&lt;&gt;"",J31&lt;&gt;"",K31&lt;&gt;"",N31&lt;&gt;"")),"",IF(AND(B31&lt;&gt;"",C31&lt;&gt;"",D31&lt;&gt;"",E31&lt;&gt;"",F31&lt;&gt;"",G31&lt;&gt;"",H31&lt;&gt;"",I31&lt;&gt;"",J31&lt;&gt;"",K31&lt;&gt;"",N31&lt;&gt;""),"✓ Completo","⚠ Faltan datos"))</f>
        <v/>
      </c>
      <c r="Q31" s="16" t="n"/>
    </row>
    <row r="32" ht="21" customHeight="1">
      <c r="A32" s="21" t="n">
        <v>26</v>
      </c>
      <c r="B32" s="22" t="n"/>
      <c r="C32" s="22" t="n"/>
      <c r="D32" s="22" t="n"/>
      <c r="E32" s="22" t="n"/>
      <c r="F32" s="23" t="n"/>
      <c r="G32" s="22" t="n"/>
      <c r="H32" s="24" t="n"/>
      <c r="I32" s="25" t="n"/>
      <c r="J32" s="25" t="n"/>
      <c r="K32" s="26" t="n"/>
      <c r="L32" s="22" t="n"/>
      <c r="M32" s="22" t="n"/>
      <c r="N32" s="24" t="n"/>
      <c r="O32" s="19">
        <f>IFERROR(IF(N32="","",IF(MAX(IFERROR(INDEX(Tarifas!$B$3:$F$65,MATCH(K32,Tarifas!$A$3:$A$65,0),MATCH(N32,Tarifas!$B$2:$F$2,0)),0),IFERROR(INDEX(Tarifas!$B$3:$F$65,MATCH(L32,Tarifas!$A$3:$A$65,0),MATCH(N32,Tarifas!$B$2:$F$2,0)),0),IFERROR(INDEX(Tarifas!$B$3:$F$65,MATCH(M32,Tarifas!$A$3:$A$65,0),MATCH(N32,Tarifas!$B$2:$F$2,0)),0))=0,"",MAX(IFERROR(INDEX(Tarifas!$B$3:$F$65,MATCH(K32,Tarifas!$A$3:$A$65,0),MATCH(N32,Tarifas!$B$2:$F$2,0)),0),IFERROR(INDEX(Tarifas!$B$3:$F$65,MATCH(L32,Tarifas!$A$3:$A$65,0),MATCH(N32,Tarifas!$B$2:$F$2,0)),0),IFERROR(INDEX(Tarifas!$B$3:$F$65,MATCH(M32,Tarifas!$A$3:$A$65,0),MATCH(N32,Tarifas!$B$2:$F$2,0)),0)))),"")</f>
        <v/>
      </c>
      <c r="P32" s="27">
        <f>IF(NOT(OR(B32&lt;&gt;"",C32&lt;&gt;"",D32&lt;&gt;"",E32&lt;&gt;"",F32&lt;&gt;"",G32&lt;&gt;"",H32&lt;&gt;"",I32&lt;&gt;"",J32&lt;&gt;"",K32&lt;&gt;"",N32&lt;&gt;"")),"",IF(AND(B32&lt;&gt;"",C32&lt;&gt;"",D32&lt;&gt;"",E32&lt;&gt;"",F32&lt;&gt;"",G32&lt;&gt;"",H32&lt;&gt;"",I32&lt;&gt;"",J32&lt;&gt;"",K32&lt;&gt;"",N32&lt;&gt;""),"✓ Completo","⚠ Faltan datos"))</f>
        <v/>
      </c>
      <c r="Q32" s="24" t="n"/>
    </row>
    <row r="33" ht="21" customHeight="1">
      <c r="A33" s="13" t="n">
        <v>27</v>
      </c>
      <c r="B33" s="14" t="n"/>
      <c r="C33" s="14" t="n"/>
      <c r="D33" s="14" t="n"/>
      <c r="E33" s="14" t="n"/>
      <c r="F33" s="15" t="n"/>
      <c r="G33" s="14" t="n"/>
      <c r="H33" s="16" t="n"/>
      <c r="I33" s="17" t="n"/>
      <c r="J33" s="17" t="n"/>
      <c r="K33" s="18" t="n"/>
      <c r="L33" s="14" t="n"/>
      <c r="M33" s="14" t="n"/>
      <c r="N33" s="16" t="n"/>
      <c r="O33" s="19">
        <f>IFERROR(IF(N33="","",IF(MAX(IFERROR(INDEX(Tarifas!$B$3:$F$65,MATCH(K33,Tarifas!$A$3:$A$65,0),MATCH(N33,Tarifas!$B$2:$F$2,0)),0),IFERROR(INDEX(Tarifas!$B$3:$F$65,MATCH(L33,Tarifas!$A$3:$A$65,0),MATCH(N33,Tarifas!$B$2:$F$2,0)),0),IFERROR(INDEX(Tarifas!$B$3:$F$65,MATCH(M33,Tarifas!$A$3:$A$65,0),MATCH(N33,Tarifas!$B$2:$F$2,0)),0))=0,"",MAX(IFERROR(INDEX(Tarifas!$B$3:$F$65,MATCH(K33,Tarifas!$A$3:$A$65,0),MATCH(N33,Tarifas!$B$2:$F$2,0)),0),IFERROR(INDEX(Tarifas!$B$3:$F$65,MATCH(L33,Tarifas!$A$3:$A$65,0),MATCH(N33,Tarifas!$B$2:$F$2,0)),0),IFERROR(INDEX(Tarifas!$B$3:$F$65,MATCH(M33,Tarifas!$A$3:$A$65,0),MATCH(N33,Tarifas!$B$2:$F$2,0)),0)))),"")</f>
        <v/>
      </c>
      <c r="P33" s="20">
        <f>IF(NOT(OR(B33&lt;&gt;"",C33&lt;&gt;"",D33&lt;&gt;"",E33&lt;&gt;"",F33&lt;&gt;"",G33&lt;&gt;"",H33&lt;&gt;"",I33&lt;&gt;"",J33&lt;&gt;"",K33&lt;&gt;"",N33&lt;&gt;"")),"",IF(AND(B33&lt;&gt;"",C33&lt;&gt;"",D33&lt;&gt;"",E33&lt;&gt;"",F33&lt;&gt;"",G33&lt;&gt;"",H33&lt;&gt;"",I33&lt;&gt;"",J33&lt;&gt;"",K33&lt;&gt;"",N33&lt;&gt;""),"✓ Completo","⚠ Faltan datos"))</f>
        <v/>
      </c>
      <c r="Q33" s="16" t="n"/>
    </row>
    <row r="34" ht="21" customHeight="1">
      <c r="A34" s="21" t="n">
        <v>28</v>
      </c>
      <c r="B34" s="22" t="n"/>
      <c r="C34" s="22" t="n"/>
      <c r="D34" s="22" t="n"/>
      <c r="E34" s="22" t="n"/>
      <c r="F34" s="23" t="n"/>
      <c r="G34" s="22" t="n"/>
      <c r="H34" s="24" t="n"/>
      <c r="I34" s="25" t="n"/>
      <c r="J34" s="25" t="n"/>
      <c r="K34" s="26" t="n"/>
      <c r="L34" s="22" t="n"/>
      <c r="M34" s="22" t="n"/>
      <c r="N34" s="24" t="n"/>
      <c r="O34" s="19">
        <f>IFERROR(IF(N34="","",IF(MAX(IFERROR(INDEX(Tarifas!$B$3:$F$65,MATCH(K34,Tarifas!$A$3:$A$65,0),MATCH(N34,Tarifas!$B$2:$F$2,0)),0),IFERROR(INDEX(Tarifas!$B$3:$F$65,MATCH(L34,Tarifas!$A$3:$A$65,0),MATCH(N34,Tarifas!$B$2:$F$2,0)),0),IFERROR(INDEX(Tarifas!$B$3:$F$65,MATCH(M34,Tarifas!$A$3:$A$65,0),MATCH(N34,Tarifas!$B$2:$F$2,0)),0))=0,"",MAX(IFERROR(INDEX(Tarifas!$B$3:$F$65,MATCH(K34,Tarifas!$A$3:$A$65,0),MATCH(N34,Tarifas!$B$2:$F$2,0)),0),IFERROR(INDEX(Tarifas!$B$3:$F$65,MATCH(L34,Tarifas!$A$3:$A$65,0),MATCH(N34,Tarifas!$B$2:$F$2,0)),0),IFERROR(INDEX(Tarifas!$B$3:$F$65,MATCH(M34,Tarifas!$A$3:$A$65,0),MATCH(N34,Tarifas!$B$2:$F$2,0)),0)))),"")</f>
        <v/>
      </c>
      <c r="P34" s="27">
        <f>IF(NOT(OR(B34&lt;&gt;"",C34&lt;&gt;"",D34&lt;&gt;"",E34&lt;&gt;"",F34&lt;&gt;"",G34&lt;&gt;"",H34&lt;&gt;"",I34&lt;&gt;"",J34&lt;&gt;"",K34&lt;&gt;"",N34&lt;&gt;"")),"",IF(AND(B34&lt;&gt;"",C34&lt;&gt;"",D34&lt;&gt;"",E34&lt;&gt;"",F34&lt;&gt;"",G34&lt;&gt;"",H34&lt;&gt;"",I34&lt;&gt;"",J34&lt;&gt;"",K34&lt;&gt;"",N34&lt;&gt;""),"✓ Completo","⚠ Faltan datos"))</f>
        <v/>
      </c>
      <c r="Q34" s="24" t="n"/>
    </row>
    <row r="35" ht="21" customHeight="1">
      <c r="A35" s="13" t="n">
        <v>29</v>
      </c>
      <c r="B35" s="14" t="n"/>
      <c r="C35" s="14" t="n"/>
      <c r="D35" s="14" t="n"/>
      <c r="E35" s="14" t="n"/>
      <c r="F35" s="15" t="n"/>
      <c r="G35" s="14" t="n"/>
      <c r="H35" s="16" t="n"/>
      <c r="I35" s="17" t="n"/>
      <c r="J35" s="17" t="n"/>
      <c r="K35" s="18" t="n"/>
      <c r="L35" s="14" t="n"/>
      <c r="M35" s="14" t="n"/>
      <c r="N35" s="16" t="n"/>
      <c r="O35" s="19">
        <f>IFERROR(IF(N35="","",IF(MAX(IFERROR(INDEX(Tarifas!$B$3:$F$65,MATCH(K35,Tarifas!$A$3:$A$65,0),MATCH(N35,Tarifas!$B$2:$F$2,0)),0),IFERROR(INDEX(Tarifas!$B$3:$F$65,MATCH(L35,Tarifas!$A$3:$A$65,0),MATCH(N35,Tarifas!$B$2:$F$2,0)),0),IFERROR(INDEX(Tarifas!$B$3:$F$65,MATCH(M35,Tarifas!$A$3:$A$65,0),MATCH(N35,Tarifas!$B$2:$F$2,0)),0))=0,"",MAX(IFERROR(INDEX(Tarifas!$B$3:$F$65,MATCH(K35,Tarifas!$A$3:$A$65,0),MATCH(N35,Tarifas!$B$2:$F$2,0)),0),IFERROR(INDEX(Tarifas!$B$3:$F$65,MATCH(L35,Tarifas!$A$3:$A$65,0),MATCH(N35,Tarifas!$B$2:$F$2,0)),0),IFERROR(INDEX(Tarifas!$B$3:$F$65,MATCH(M35,Tarifas!$A$3:$A$65,0),MATCH(N35,Tarifas!$B$2:$F$2,0)),0)))),"")</f>
        <v/>
      </c>
      <c r="P35" s="20">
        <f>IF(NOT(OR(B35&lt;&gt;"",C35&lt;&gt;"",D35&lt;&gt;"",E35&lt;&gt;"",F35&lt;&gt;"",G35&lt;&gt;"",H35&lt;&gt;"",I35&lt;&gt;"",J35&lt;&gt;"",K35&lt;&gt;"",N35&lt;&gt;"")),"",IF(AND(B35&lt;&gt;"",C35&lt;&gt;"",D35&lt;&gt;"",E35&lt;&gt;"",F35&lt;&gt;"",G35&lt;&gt;"",H35&lt;&gt;"",I35&lt;&gt;"",J35&lt;&gt;"",K35&lt;&gt;"",N35&lt;&gt;""),"✓ Completo","⚠ Faltan datos"))</f>
        <v/>
      </c>
      <c r="Q35" s="16" t="n"/>
    </row>
    <row r="36" ht="21" customHeight="1">
      <c r="A36" s="21" t="n">
        <v>30</v>
      </c>
      <c r="B36" s="22" t="n"/>
      <c r="C36" s="22" t="n"/>
      <c r="D36" s="22" t="n"/>
      <c r="E36" s="22" t="n"/>
      <c r="F36" s="23" t="n"/>
      <c r="G36" s="22" t="n"/>
      <c r="H36" s="24" t="n"/>
      <c r="I36" s="25" t="n"/>
      <c r="J36" s="25" t="n"/>
      <c r="K36" s="26" t="n"/>
      <c r="L36" s="22" t="n"/>
      <c r="M36" s="22" t="n"/>
      <c r="N36" s="24" t="n"/>
      <c r="O36" s="19">
        <f>IFERROR(IF(N36="","",IF(MAX(IFERROR(INDEX(Tarifas!$B$3:$F$65,MATCH(K36,Tarifas!$A$3:$A$65,0),MATCH(N36,Tarifas!$B$2:$F$2,0)),0),IFERROR(INDEX(Tarifas!$B$3:$F$65,MATCH(L36,Tarifas!$A$3:$A$65,0),MATCH(N36,Tarifas!$B$2:$F$2,0)),0),IFERROR(INDEX(Tarifas!$B$3:$F$65,MATCH(M36,Tarifas!$A$3:$A$65,0),MATCH(N36,Tarifas!$B$2:$F$2,0)),0))=0,"",MAX(IFERROR(INDEX(Tarifas!$B$3:$F$65,MATCH(K36,Tarifas!$A$3:$A$65,0),MATCH(N36,Tarifas!$B$2:$F$2,0)),0),IFERROR(INDEX(Tarifas!$B$3:$F$65,MATCH(L36,Tarifas!$A$3:$A$65,0),MATCH(N36,Tarifas!$B$2:$F$2,0)),0),IFERROR(INDEX(Tarifas!$B$3:$F$65,MATCH(M36,Tarifas!$A$3:$A$65,0),MATCH(N36,Tarifas!$B$2:$F$2,0)),0)))),"")</f>
        <v/>
      </c>
      <c r="P36" s="27">
        <f>IF(NOT(OR(B36&lt;&gt;"",C36&lt;&gt;"",D36&lt;&gt;"",E36&lt;&gt;"",F36&lt;&gt;"",G36&lt;&gt;"",H36&lt;&gt;"",I36&lt;&gt;"",J36&lt;&gt;"",K36&lt;&gt;"",N36&lt;&gt;"")),"",IF(AND(B36&lt;&gt;"",C36&lt;&gt;"",D36&lt;&gt;"",E36&lt;&gt;"",F36&lt;&gt;"",G36&lt;&gt;"",H36&lt;&gt;"",I36&lt;&gt;"",J36&lt;&gt;"",K36&lt;&gt;"",N36&lt;&gt;""),"✓ Completo","⚠ Faltan datos"))</f>
        <v/>
      </c>
      <c r="Q36" s="24" t="n"/>
    </row>
    <row r="37" ht="21" customHeight="1">
      <c r="A37" s="13" t="n">
        <v>31</v>
      </c>
      <c r="B37" s="14" t="n"/>
      <c r="C37" s="14" t="n"/>
      <c r="D37" s="14" t="n"/>
      <c r="E37" s="14" t="n"/>
      <c r="F37" s="15" t="n"/>
      <c r="G37" s="14" t="n"/>
      <c r="H37" s="16" t="n"/>
      <c r="I37" s="17" t="n"/>
      <c r="J37" s="17" t="n"/>
      <c r="K37" s="18" t="n"/>
      <c r="L37" s="14" t="n"/>
      <c r="M37" s="14" t="n"/>
      <c r="N37" s="16" t="n"/>
      <c r="O37" s="19">
        <f>IFERROR(IF(N37="","",IF(MAX(IFERROR(INDEX(Tarifas!$B$3:$F$65,MATCH(K37,Tarifas!$A$3:$A$65,0),MATCH(N37,Tarifas!$B$2:$F$2,0)),0),IFERROR(INDEX(Tarifas!$B$3:$F$65,MATCH(L37,Tarifas!$A$3:$A$65,0),MATCH(N37,Tarifas!$B$2:$F$2,0)),0),IFERROR(INDEX(Tarifas!$B$3:$F$65,MATCH(M37,Tarifas!$A$3:$A$65,0),MATCH(N37,Tarifas!$B$2:$F$2,0)),0))=0,"",MAX(IFERROR(INDEX(Tarifas!$B$3:$F$65,MATCH(K37,Tarifas!$A$3:$A$65,0),MATCH(N37,Tarifas!$B$2:$F$2,0)),0),IFERROR(INDEX(Tarifas!$B$3:$F$65,MATCH(L37,Tarifas!$A$3:$A$65,0),MATCH(N37,Tarifas!$B$2:$F$2,0)),0),IFERROR(INDEX(Tarifas!$B$3:$F$65,MATCH(M37,Tarifas!$A$3:$A$65,0),MATCH(N37,Tarifas!$B$2:$F$2,0)),0)))),"")</f>
        <v/>
      </c>
      <c r="P37" s="20">
        <f>IF(NOT(OR(B37&lt;&gt;"",C37&lt;&gt;"",D37&lt;&gt;"",E37&lt;&gt;"",F37&lt;&gt;"",G37&lt;&gt;"",H37&lt;&gt;"",I37&lt;&gt;"",J37&lt;&gt;"",K37&lt;&gt;"",N37&lt;&gt;"")),"",IF(AND(B37&lt;&gt;"",C37&lt;&gt;"",D37&lt;&gt;"",E37&lt;&gt;"",F37&lt;&gt;"",G37&lt;&gt;"",H37&lt;&gt;"",I37&lt;&gt;"",J37&lt;&gt;"",K37&lt;&gt;"",N37&lt;&gt;""),"✓ Completo","⚠ Faltan datos"))</f>
        <v/>
      </c>
      <c r="Q37" s="16" t="n"/>
    </row>
    <row r="38" ht="21" customHeight="1">
      <c r="A38" s="21" t="n">
        <v>32</v>
      </c>
      <c r="B38" s="22" t="n"/>
      <c r="C38" s="22" t="n"/>
      <c r="D38" s="22" t="n"/>
      <c r="E38" s="22" t="n"/>
      <c r="F38" s="23" t="n"/>
      <c r="G38" s="22" t="n"/>
      <c r="H38" s="24" t="n"/>
      <c r="I38" s="25" t="n"/>
      <c r="J38" s="25" t="n"/>
      <c r="K38" s="26" t="n"/>
      <c r="L38" s="22" t="n"/>
      <c r="M38" s="22" t="n"/>
      <c r="N38" s="24" t="n"/>
      <c r="O38" s="19">
        <f>IFERROR(IF(N38="","",IF(MAX(IFERROR(INDEX(Tarifas!$B$3:$F$65,MATCH(K38,Tarifas!$A$3:$A$65,0),MATCH(N38,Tarifas!$B$2:$F$2,0)),0),IFERROR(INDEX(Tarifas!$B$3:$F$65,MATCH(L38,Tarifas!$A$3:$A$65,0),MATCH(N38,Tarifas!$B$2:$F$2,0)),0),IFERROR(INDEX(Tarifas!$B$3:$F$65,MATCH(M38,Tarifas!$A$3:$A$65,0),MATCH(N38,Tarifas!$B$2:$F$2,0)),0))=0,"",MAX(IFERROR(INDEX(Tarifas!$B$3:$F$65,MATCH(K38,Tarifas!$A$3:$A$65,0),MATCH(N38,Tarifas!$B$2:$F$2,0)),0),IFERROR(INDEX(Tarifas!$B$3:$F$65,MATCH(L38,Tarifas!$A$3:$A$65,0),MATCH(N38,Tarifas!$B$2:$F$2,0)),0),IFERROR(INDEX(Tarifas!$B$3:$F$65,MATCH(M38,Tarifas!$A$3:$A$65,0),MATCH(N38,Tarifas!$B$2:$F$2,0)),0)))),"")</f>
        <v/>
      </c>
      <c r="P38" s="27">
        <f>IF(NOT(OR(B38&lt;&gt;"",C38&lt;&gt;"",D38&lt;&gt;"",E38&lt;&gt;"",F38&lt;&gt;"",G38&lt;&gt;"",H38&lt;&gt;"",I38&lt;&gt;"",J38&lt;&gt;"",K38&lt;&gt;"",N38&lt;&gt;"")),"",IF(AND(B38&lt;&gt;"",C38&lt;&gt;"",D38&lt;&gt;"",E38&lt;&gt;"",F38&lt;&gt;"",G38&lt;&gt;"",H38&lt;&gt;"",I38&lt;&gt;"",J38&lt;&gt;"",K38&lt;&gt;"",N38&lt;&gt;""),"✓ Completo","⚠ Faltan datos"))</f>
        <v/>
      </c>
      <c r="Q38" s="24" t="n"/>
    </row>
    <row r="39" ht="21" customHeight="1">
      <c r="A39" s="13" t="n">
        <v>33</v>
      </c>
      <c r="B39" s="14" t="n"/>
      <c r="C39" s="14" t="n"/>
      <c r="D39" s="14" t="n"/>
      <c r="E39" s="14" t="n"/>
      <c r="F39" s="15" t="n"/>
      <c r="G39" s="14" t="n"/>
      <c r="H39" s="16" t="n"/>
      <c r="I39" s="17" t="n"/>
      <c r="J39" s="17" t="n"/>
      <c r="K39" s="18" t="n"/>
      <c r="L39" s="14" t="n"/>
      <c r="M39" s="14" t="n"/>
      <c r="N39" s="16" t="n"/>
      <c r="O39" s="19">
        <f>IFERROR(IF(N39="","",IF(MAX(IFERROR(INDEX(Tarifas!$B$3:$F$65,MATCH(K39,Tarifas!$A$3:$A$65,0),MATCH(N39,Tarifas!$B$2:$F$2,0)),0),IFERROR(INDEX(Tarifas!$B$3:$F$65,MATCH(L39,Tarifas!$A$3:$A$65,0),MATCH(N39,Tarifas!$B$2:$F$2,0)),0),IFERROR(INDEX(Tarifas!$B$3:$F$65,MATCH(M39,Tarifas!$A$3:$A$65,0),MATCH(N39,Tarifas!$B$2:$F$2,0)),0))=0,"",MAX(IFERROR(INDEX(Tarifas!$B$3:$F$65,MATCH(K39,Tarifas!$A$3:$A$65,0),MATCH(N39,Tarifas!$B$2:$F$2,0)),0),IFERROR(INDEX(Tarifas!$B$3:$F$65,MATCH(L39,Tarifas!$A$3:$A$65,0),MATCH(N39,Tarifas!$B$2:$F$2,0)),0),IFERROR(INDEX(Tarifas!$B$3:$F$65,MATCH(M39,Tarifas!$A$3:$A$65,0),MATCH(N39,Tarifas!$B$2:$F$2,0)),0)))),"")</f>
        <v/>
      </c>
      <c r="P39" s="20">
        <f>IF(NOT(OR(B39&lt;&gt;"",C39&lt;&gt;"",D39&lt;&gt;"",E39&lt;&gt;"",F39&lt;&gt;"",G39&lt;&gt;"",H39&lt;&gt;"",I39&lt;&gt;"",J39&lt;&gt;"",K39&lt;&gt;"",N39&lt;&gt;"")),"",IF(AND(B39&lt;&gt;"",C39&lt;&gt;"",D39&lt;&gt;"",E39&lt;&gt;"",F39&lt;&gt;"",G39&lt;&gt;"",H39&lt;&gt;"",I39&lt;&gt;"",J39&lt;&gt;"",K39&lt;&gt;"",N39&lt;&gt;""),"✓ Completo","⚠ Faltan datos"))</f>
        <v/>
      </c>
      <c r="Q39" s="16" t="n"/>
    </row>
    <row r="40" ht="21" customHeight="1">
      <c r="A40" s="21" t="n">
        <v>34</v>
      </c>
      <c r="B40" s="22" t="n"/>
      <c r="C40" s="22" t="n"/>
      <c r="D40" s="22" t="n"/>
      <c r="E40" s="22" t="n"/>
      <c r="F40" s="23" t="n"/>
      <c r="G40" s="22" t="n"/>
      <c r="H40" s="24" t="n"/>
      <c r="I40" s="25" t="n"/>
      <c r="J40" s="25" t="n"/>
      <c r="K40" s="26" t="n"/>
      <c r="L40" s="22" t="n"/>
      <c r="M40" s="22" t="n"/>
      <c r="N40" s="24" t="n"/>
      <c r="O40" s="19">
        <f>IFERROR(IF(N40="","",IF(MAX(IFERROR(INDEX(Tarifas!$B$3:$F$65,MATCH(K40,Tarifas!$A$3:$A$65,0),MATCH(N40,Tarifas!$B$2:$F$2,0)),0),IFERROR(INDEX(Tarifas!$B$3:$F$65,MATCH(L40,Tarifas!$A$3:$A$65,0),MATCH(N40,Tarifas!$B$2:$F$2,0)),0),IFERROR(INDEX(Tarifas!$B$3:$F$65,MATCH(M40,Tarifas!$A$3:$A$65,0),MATCH(N40,Tarifas!$B$2:$F$2,0)),0))=0,"",MAX(IFERROR(INDEX(Tarifas!$B$3:$F$65,MATCH(K40,Tarifas!$A$3:$A$65,0),MATCH(N40,Tarifas!$B$2:$F$2,0)),0),IFERROR(INDEX(Tarifas!$B$3:$F$65,MATCH(L40,Tarifas!$A$3:$A$65,0),MATCH(N40,Tarifas!$B$2:$F$2,0)),0),IFERROR(INDEX(Tarifas!$B$3:$F$65,MATCH(M40,Tarifas!$A$3:$A$65,0),MATCH(N40,Tarifas!$B$2:$F$2,0)),0)))),"")</f>
        <v/>
      </c>
      <c r="P40" s="27">
        <f>IF(NOT(OR(B40&lt;&gt;"",C40&lt;&gt;"",D40&lt;&gt;"",E40&lt;&gt;"",F40&lt;&gt;"",G40&lt;&gt;"",H40&lt;&gt;"",I40&lt;&gt;"",J40&lt;&gt;"",K40&lt;&gt;"",N40&lt;&gt;"")),"",IF(AND(B40&lt;&gt;"",C40&lt;&gt;"",D40&lt;&gt;"",E40&lt;&gt;"",F40&lt;&gt;"",G40&lt;&gt;"",H40&lt;&gt;"",I40&lt;&gt;"",J40&lt;&gt;"",K40&lt;&gt;"",N40&lt;&gt;""),"✓ Completo","⚠ Faltan datos"))</f>
        <v/>
      </c>
      <c r="Q40" s="24" t="n"/>
    </row>
    <row r="41" ht="21" customHeight="1">
      <c r="A41" s="13" t="n">
        <v>35</v>
      </c>
      <c r="B41" s="14" t="n"/>
      <c r="C41" s="14" t="n"/>
      <c r="D41" s="14" t="n"/>
      <c r="E41" s="14" t="n"/>
      <c r="F41" s="15" t="n"/>
      <c r="G41" s="14" t="n"/>
      <c r="H41" s="16" t="n"/>
      <c r="I41" s="17" t="n"/>
      <c r="J41" s="17" t="n"/>
      <c r="K41" s="18" t="n"/>
      <c r="L41" s="14" t="n"/>
      <c r="M41" s="14" t="n"/>
      <c r="N41" s="16" t="n"/>
      <c r="O41" s="19">
        <f>IFERROR(IF(N41="","",IF(MAX(IFERROR(INDEX(Tarifas!$B$3:$F$65,MATCH(K41,Tarifas!$A$3:$A$65,0),MATCH(N41,Tarifas!$B$2:$F$2,0)),0),IFERROR(INDEX(Tarifas!$B$3:$F$65,MATCH(L41,Tarifas!$A$3:$A$65,0),MATCH(N41,Tarifas!$B$2:$F$2,0)),0),IFERROR(INDEX(Tarifas!$B$3:$F$65,MATCH(M41,Tarifas!$A$3:$A$65,0),MATCH(N41,Tarifas!$B$2:$F$2,0)),0))=0,"",MAX(IFERROR(INDEX(Tarifas!$B$3:$F$65,MATCH(K41,Tarifas!$A$3:$A$65,0),MATCH(N41,Tarifas!$B$2:$F$2,0)),0),IFERROR(INDEX(Tarifas!$B$3:$F$65,MATCH(L41,Tarifas!$A$3:$A$65,0),MATCH(N41,Tarifas!$B$2:$F$2,0)),0),IFERROR(INDEX(Tarifas!$B$3:$F$65,MATCH(M41,Tarifas!$A$3:$A$65,0),MATCH(N41,Tarifas!$B$2:$F$2,0)),0)))),"")</f>
        <v/>
      </c>
      <c r="P41" s="20">
        <f>IF(NOT(OR(B41&lt;&gt;"",C41&lt;&gt;"",D41&lt;&gt;"",E41&lt;&gt;"",F41&lt;&gt;"",G41&lt;&gt;"",H41&lt;&gt;"",I41&lt;&gt;"",J41&lt;&gt;"",K41&lt;&gt;"",N41&lt;&gt;"")),"",IF(AND(B41&lt;&gt;"",C41&lt;&gt;"",D41&lt;&gt;"",E41&lt;&gt;"",F41&lt;&gt;"",G41&lt;&gt;"",H41&lt;&gt;"",I41&lt;&gt;"",J41&lt;&gt;"",K41&lt;&gt;"",N41&lt;&gt;""),"✓ Completo","⚠ Faltan datos"))</f>
        <v/>
      </c>
      <c r="Q41" s="16" t="n"/>
    </row>
    <row r="42" ht="21" customHeight="1">
      <c r="A42" s="21" t="n">
        <v>36</v>
      </c>
      <c r="B42" s="22" t="n"/>
      <c r="C42" s="22" t="n"/>
      <c r="D42" s="22" t="n"/>
      <c r="E42" s="22" t="n"/>
      <c r="F42" s="23" t="n"/>
      <c r="G42" s="22" t="n"/>
      <c r="H42" s="24" t="n"/>
      <c r="I42" s="25" t="n"/>
      <c r="J42" s="25" t="n"/>
      <c r="K42" s="26" t="n"/>
      <c r="L42" s="22" t="n"/>
      <c r="M42" s="22" t="n"/>
      <c r="N42" s="24" t="n"/>
      <c r="O42" s="19">
        <f>IFERROR(IF(N42="","",IF(MAX(IFERROR(INDEX(Tarifas!$B$3:$F$65,MATCH(K42,Tarifas!$A$3:$A$65,0),MATCH(N42,Tarifas!$B$2:$F$2,0)),0),IFERROR(INDEX(Tarifas!$B$3:$F$65,MATCH(L42,Tarifas!$A$3:$A$65,0),MATCH(N42,Tarifas!$B$2:$F$2,0)),0),IFERROR(INDEX(Tarifas!$B$3:$F$65,MATCH(M42,Tarifas!$A$3:$A$65,0),MATCH(N42,Tarifas!$B$2:$F$2,0)),0))=0,"",MAX(IFERROR(INDEX(Tarifas!$B$3:$F$65,MATCH(K42,Tarifas!$A$3:$A$65,0),MATCH(N42,Tarifas!$B$2:$F$2,0)),0),IFERROR(INDEX(Tarifas!$B$3:$F$65,MATCH(L42,Tarifas!$A$3:$A$65,0),MATCH(N42,Tarifas!$B$2:$F$2,0)),0),IFERROR(INDEX(Tarifas!$B$3:$F$65,MATCH(M42,Tarifas!$A$3:$A$65,0),MATCH(N42,Tarifas!$B$2:$F$2,0)),0)))),"")</f>
        <v/>
      </c>
      <c r="P42" s="27">
        <f>IF(NOT(OR(B42&lt;&gt;"",C42&lt;&gt;"",D42&lt;&gt;"",E42&lt;&gt;"",F42&lt;&gt;"",G42&lt;&gt;"",H42&lt;&gt;"",I42&lt;&gt;"",J42&lt;&gt;"",K42&lt;&gt;"",N42&lt;&gt;"")),"",IF(AND(B42&lt;&gt;"",C42&lt;&gt;"",D42&lt;&gt;"",E42&lt;&gt;"",F42&lt;&gt;"",G42&lt;&gt;"",H42&lt;&gt;"",I42&lt;&gt;"",J42&lt;&gt;"",K42&lt;&gt;"",N42&lt;&gt;""),"✓ Completo","⚠ Faltan datos"))</f>
        <v/>
      </c>
      <c r="Q42" s="24" t="n"/>
    </row>
    <row r="43" ht="21" customHeight="1">
      <c r="A43" s="13" t="n">
        <v>37</v>
      </c>
      <c r="B43" s="14" t="n"/>
      <c r="C43" s="14" t="n"/>
      <c r="D43" s="14" t="n"/>
      <c r="E43" s="14" t="n"/>
      <c r="F43" s="15" t="n"/>
      <c r="G43" s="14" t="n"/>
      <c r="H43" s="16" t="n"/>
      <c r="I43" s="17" t="n"/>
      <c r="J43" s="17" t="n"/>
      <c r="K43" s="18" t="n"/>
      <c r="L43" s="14" t="n"/>
      <c r="M43" s="14" t="n"/>
      <c r="N43" s="16" t="n"/>
      <c r="O43" s="19">
        <f>IFERROR(IF(N43="","",IF(MAX(IFERROR(INDEX(Tarifas!$B$3:$F$65,MATCH(K43,Tarifas!$A$3:$A$65,0),MATCH(N43,Tarifas!$B$2:$F$2,0)),0),IFERROR(INDEX(Tarifas!$B$3:$F$65,MATCH(L43,Tarifas!$A$3:$A$65,0),MATCH(N43,Tarifas!$B$2:$F$2,0)),0),IFERROR(INDEX(Tarifas!$B$3:$F$65,MATCH(M43,Tarifas!$A$3:$A$65,0),MATCH(N43,Tarifas!$B$2:$F$2,0)),0))=0,"",MAX(IFERROR(INDEX(Tarifas!$B$3:$F$65,MATCH(K43,Tarifas!$A$3:$A$65,0),MATCH(N43,Tarifas!$B$2:$F$2,0)),0),IFERROR(INDEX(Tarifas!$B$3:$F$65,MATCH(L43,Tarifas!$A$3:$A$65,0),MATCH(N43,Tarifas!$B$2:$F$2,0)),0),IFERROR(INDEX(Tarifas!$B$3:$F$65,MATCH(M43,Tarifas!$A$3:$A$65,0),MATCH(N43,Tarifas!$B$2:$F$2,0)),0)))),"")</f>
        <v/>
      </c>
      <c r="P43" s="20">
        <f>IF(NOT(OR(B43&lt;&gt;"",C43&lt;&gt;"",D43&lt;&gt;"",E43&lt;&gt;"",F43&lt;&gt;"",G43&lt;&gt;"",H43&lt;&gt;"",I43&lt;&gt;"",J43&lt;&gt;"",K43&lt;&gt;"",N43&lt;&gt;"")),"",IF(AND(B43&lt;&gt;"",C43&lt;&gt;"",D43&lt;&gt;"",E43&lt;&gt;"",F43&lt;&gt;"",G43&lt;&gt;"",H43&lt;&gt;"",I43&lt;&gt;"",J43&lt;&gt;"",K43&lt;&gt;"",N43&lt;&gt;""),"✓ Completo","⚠ Faltan datos"))</f>
        <v/>
      </c>
      <c r="Q43" s="16" t="n"/>
    </row>
    <row r="44" ht="21" customHeight="1">
      <c r="A44" s="21" t="n">
        <v>38</v>
      </c>
      <c r="B44" s="22" t="n"/>
      <c r="C44" s="22" t="n"/>
      <c r="D44" s="22" t="n"/>
      <c r="E44" s="22" t="n"/>
      <c r="F44" s="23" t="n"/>
      <c r="G44" s="22" t="n"/>
      <c r="H44" s="24" t="n"/>
      <c r="I44" s="25" t="n"/>
      <c r="J44" s="25" t="n"/>
      <c r="K44" s="26" t="n"/>
      <c r="L44" s="22" t="n"/>
      <c r="M44" s="22" t="n"/>
      <c r="N44" s="24" t="n"/>
      <c r="O44" s="19">
        <f>IFERROR(IF(N44="","",IF(MAX(IFERROR(INDEX(Tarifas!$B$3:$F$65,MATCH(K44,Tarifas!$A$3:$A$65,0),MATCH(N44,Tarifas!$B$2:$F$2,0)),0),IFERROR(INDEX(Tarifas!$B$3:$F$65,MATCH(L44,Tarifas!$A$3:$A$65,0),MATCH(N44,Tarifas!$B$2:$F$2,0)),0),IFERROR(INDEX(Tarifas!$B$3:$F$65,MATCH(M44,Tarifas!$A$3:$A$65,0),MATCH(N44,Tarifas!$B$2:$F$2,0)),0))=0,"",MAX(IFERROR(INDEX(Tarifas!$B$3:$F$65,MATCH(K44,Tarifas!$A$3:$A$65,0),MATCH(N44,Tarifas!$B$2:$F$2,0)),0),IFERROR(INDEX(Tarifas!$B$3:$F$65,MATCH(L44,Tarifas!$A$3:$A$65,0),MATCH(N44,Tarifas!$B$2:$F$2,0)),0),IFERROR(INDEX(Tarifas!$B$3:$F$65,MATCH(M44,Tarifas!$A$3:$A$65,0),MATCH(N44,Tarifas!$B$2:$F$2,0)),0)))),"")</f>
        <v/>
      </c>
      <c r="P44" s="27">
        <f>IF(NOT(OR(B44&lt;&gt;"",C44&lt;&gt;"",D44&lt;&gt;"",E44&lt;&gt;"",F44&lt;&gt;"",G44&lt;&gt;"",H44&lt;&gt;"",I44&lt;&gt;"",J44&lt;&gt;"",K44&lt;&gt;"",N44&lt;&gt;"")),"",IF(AND(B44&lt;&gt;"",C44&lt;&gt;"",D44&lt;&gt;"",E44&lt;&gt;"",F44&lt;&gt;"",G44&lt;&gt;"",H44&lt;&gt;"",I44&lt;&gt;"",J44&lt;&gt;"",K44&lt;&gt;"",N44&lt;&gt;""),"✓ Completo","⚠ Faltan datos"))</f>
        <v/>
      </c>
      <c r="Q44" s="24" t="n"/>
    </row>
    <row r="45" ht="21" customHeight="1">
      <c r="A45" s="13" t="n">
        <v>39</v>
      </c>
      <c r="B45" s="14" t="n"/>
      <c r="C45" s="14" t="n"/>
      <c r="D45" s="14" t="n"/>
      <c r="E45" s="14" t="n"/>
      <c r="F45" s="15" t="n"/>
      <c r="G45" s="14" t="n"/>
      <c r="H45" s="16" t="n"/>
      <c r="I45" s="17" t="n"/>
      <c r="J45" s="17" t="n"/>
      <c r="K45" s="18" t="n"/>
      <c r="L45" s="14" t="n"/>
      <c r="M45" s="14" t="n"/>
      <c r="N45" s="16" t="n"/>
      <c r="O45" s="19">
        <f>IFERROR(IF(N45="","",IF(MAX(IFERROR(INDEX(Tarifas!$B$3:$F$65,MATCH(K45,Tarifas!$A$3:$A$65,0),MATCH(N45,Tarifas!$B$2:$F$2,0)),0),IFERROR(INDEX(Tarifas!$B$3:$F$65,MATCH(L45,Tarifas!$A$3:$A$65,0),MATCH(N45,Tarifas!$B$2:$F$2,0)),0),IFERROR(INDEX(Tarifas!$B$3:$F$65,MATCH(M45,Tarifas!$A$3:$A$65,0),MATCH(N45,Tarifas!$B$2:$F$2,0)),0))=0,"",MAX(IFERROR(INDEX(Tarifas!$B$3:$F$65,MATCH(K45,Tarifas!$A$3:$A$65,0),MATCH(N45,Tarifas!$B$2:$F$2,0)),0),IFERROR(INDEX(Tarifas!$B$3:$F$65,MATCH(L45,Tarifas!$A$3:$A$65,0),MATCH(N45,Tarifas!$B$2:$F$2,0)),0),IFERROR(INDEX(Tarifas!$B$3:$F$65,MATCH(M45,Tarifas!$A$3:$A$65,0),MATCH(N45,Tarifas!$B$2:$F$2,0)),0)))),"")</f>
        <v/>
      </c>
      <c r="P45" s="20">
        <f>IF(NOT(OR(B45&lt;&gt;"",C45&lt;&gt;"",D45&lt;&gt;"",E45&lt;&gt;"",F45&lt;&gt;"",G45&lt;&gt;"",H45&lt;&gt;"",I45&lt;&gt;"",J45&lt;&gt;"",K45&lt;&gt;"",N45&lt;&gt;"")),"",IF(AND(B45&lt;&gt;"",C45&lt;&gt;"",D45&lt;&gt;"",E45&lt;&gt;"",F45&lt;&gt;"",G45&lt;&gt;"",H45&lt;&gt;"",I45&lt;&gt;"",J45&lt;&gt;"",K45&lt;&gt;"",N45&lt;&gt;""),"✓ Completo","⚠ Faltan datos"))</f>
        <v/>
      </c>
      <c r="Q45" s="16" t="n"/>
    </row>
    <row r="46" ht="21" customHeight="1">
      <c r="A46" s="21" t="n">
        <v>40</v>
      </c>
      <c r="B46" s="22" t="n"/>
      <c r="C46" s="22" t="n"/>
      <c r="D46" s="22" t="n"/>
      <c r="E46" s="22" t="n"/>
      <c r="F46" s="23" t="n"/>
      <c r="G46" s="22" t="n"/>
      <c r="H46" s="24" t="n"/>
      <c r="I46" s="25" t="n"/>
      <c r="J46" s="25" t="n"/>
      <c r="K46" s="26" t="n"/>
      <c r="L46" s="22" t="n"/>
      <c r="M46" s="22" t="n"/>
      <c r="N46" s="24" t="n"/>
      <c r="O46" s="19">
        <f>IFERROR(IF(N46="","",IF(MAX(IFERROR(INDEX(Tarifas!$B$3:$F$65,MATCH(K46,Tarifas!$A$3:$A$65,0),MATCH(N46,Tarifas!$B$2:$F$2,0)),0),IFERROR(INDEX(Tarifas!$B$3:$F$65,MATCH(L46,Tarifas!$A$3:$A$65,0),MATCH(N46,Tarifas!$B$2:$F$2,0)),0),IFERROR(INDEX(Tarifas!$B$3:$F$65,MATCH(M46,Tarifas!$A$3:$A$65,0),MATCH(N46,Tarifas!$B$2:$F$2,0)),0))=0,"",MAX(IFERROR(INDEX(Tarifas!$B$3:$F$65,MATCH(K46,Tarifas!$A$3:$A$65,0),MATCH(N46,Tarifas!$B$2:$F$2,0)),0),IFERROR(INDEX(Tarifas!$B$3:$F$65,MATCH(L46,Tarifas!$A$3:$A$65,0),MATCH(N46,Tarifas!$B$2:$F$2,0)),0),IFERROR(INDEX(Tarifas!$B$3:$F$65,MATCH(M46,Tarifas!$A$3:$A$65,0),MATCH(N46,Tarifas!$B$2:$F$2,0)),0)))),"")</f>
        <v/>
      </c>
      <c r="P46" s="27">
        <f>IF(NOT(OR(B46&lt;&gt;"",C46&lt;&gt;"",D46&lt;&gt;"",E46&lt;&gt;"",F46&lt;&gt;"",G46&lt;&gt;"",H46&lt;&gt;"",I46&lt;&gt;"",J46&lt;&gt;"",K46&lt;&gt;"",N46&lt;&gt;"")),"",IF(AND(B46&lt;&gt;"",C46&lt;&gt;"",D46&lt;&gt;"",E46&lt;&gt;"",F46&lt;&gt;"",G46&lt;&gt;"",H46&lt;&gt;"",I46&lt;&gt;"",J46&lt;&gt;"",K46&lt;&gt;"",N46&lt;&gt;""),"✓ Completo","⚠ Faltan datos"))</f>
        <v/>
      </c>
      <c r="Q46" s="24" t="n"/>
    </row>
    <row r="47" ht="21" customHeight="1">
      <c r="A47" s="13" t="n">
        <v>41</v>
      </c>
      <c r="B47" s="14" t="n"/>
      <c r="C47" s="14" t="n"/>
      <c r="D47" s="14" t="n"/>
      <c r="E47" s="14" t="n"/>
      <c r="F47" s="15" t="n"/>
      <c r="G47" s="14" t="n"/>
      <c r="H47" s="16" t="n"/>
      <c r="I47" s="17" t="n"/>
      <c r="J47" s="17" t="n"/>
      <c r="K47" s="18" t="n"/>
      <c r="L47" s="14" t="n"/>
      <c r="M47" s="14" t="n"/>
      <c r="N47" s="16" t="n"/>
      <c r="O47" s="19">
        <f>IFERROR(IF(N47="","",IF(MAX(IFERROR(INDEX(Tarifas!$B$3:$F$65,MATCH(K47,Tarifas!$A$3:$A$65,0),MATCH(N47,Tarifas!$B$2:$F$2,0)),0),IFERROR(INDEX(Tarifas!$B$3:$F$65,MATCH(L47,Tarifas!$A$3:$A$65,0),MATCH(N47,Tarifas!$B$2:$F$2,0)),0),IFERROR(INDEX(Tarifas!$B$3:$F$65,MATCH(M47,Tarifas!$A$3:$A$65,0),MATCH(N47,Tarifas!$B$2:$F$2,0)),0))=0,"",MAX(IFERROR(INDEX(Tarifas!$B$3:$F$65,MATCH(K47,Tarifas!$A$3:$A$65,0),MATCH(N47,Tarifas!$B$2:$F$2,0)),0),IFERROR(INDEX(Tarifas!$B$3:$F$65,MATCH(L47,Tarifas!$A$3:$A$65,0),MATCH(N47,Tarifas!$B$2:$F$2,0)),0),IFERROR(INDEX(Tarifas!$B$3:$F$65,MATCH(M47,Tarifas!$A$3:$A$65,0),MATCH(N47,Tarifas!$B$2:$F$2,0)),0)))),"")</f>
        <v/>
      </c>
      <c r="P47" s="20">
        <f>IF(NOT(OR(B47&lt;&gt;"",C47&lt;&gt;"",D47&lt;&gt;"",E47&lt;&gt;"",F47&lt;&gt;"",G47&lt;&gt;"",H47&lt;&gt;"",I47&lt;&gt;"",J47&lt;&gt;"",K47&lt;&gt;"",N47&lt;&gt;"")),"",IF(AND(B47&lt;&gt;"",C47&lt;&gt;"",D47&lt;&gt;"",E47&lt;&gt;"",F47&lt;&gt;"",G47&lt;&gt;"",H47&lt;&gt;"",I47&lt;&gt;"",J47&lt;&gt;"",K47&lt;&gt;"",N47&lt;&gt;""),"✓ Completo","⚠ Faltan datos"))</f>
        <v/>
      </c>
      <c r="Q47" s="16" t="n"/>
    </row>
    <row r="48" ht="21" customHeight="1">
      <c r="A48" s="21" t="n">
        <v>42</v>
      </c>
      <c r="B48" s="22" t="n"/>
      <c r="C48" s="22" t="n"/>
      <c r="D48" s="22" t="n"/>
      <c r="E48" s="22" t="n"/>
      <c r="F48" s="23" t="n"/>
      <c r="G48" s="22" t="n"/>
      <c r="H48" s="24" t="n"/>
      <c r="I48" s="25" t="n"/>
      <c r="J48" s="25" t="n"/>
      <c r="K48" s="26" t="n"/>
      <c r="L48" s="22" t="n"/>
      <c r="M48" s="22" t="n"/>
      <c r="N48" s="24" t="n"/>
      <c r="O48" s="19">
        <f>IFERROR(IF(N48="","",IF(MAX(IFERROR(INDEX(Tarifas!$B$3:$F$65,MATCH(K48,Tarifas!$A$3:$A$65,0),MATCH(N48,Tarifas!$B$2:$F$2,0)),0),IFERROR(INDEX(Tarifas!$B$3:$F$65,MATCH(L48,Tarifas!$A$3:$A$65,0),MATCH(N48,Tarifas!$B$2:$F$2,0)),0),IFERROR(INDEX(Tarifas!$B$3:$F$65,MATCH(M48,Tarifas!$A$3:$A$65,0),MATCH(N48,Tarifas!$B$2:$F$2,0)),0))=0,"",MAX(IFERROR(INDEX(Tarifas!$B$3:$F$65,MATCH(K48,Tarifas!$A$3:$A$65,0),MATCH(N48,Tarifas!$B$2:$F$2,0)),0),IFERROR(INDEX(Tarifas!$B$3:$F$65,MATCH(L48,Tarifas!$A$3:$A$65,0),MATCH(N48,Tarifas!$B$2:$F$2,0)),0),IFERROR(INDEX(Tarifas!$B$3:$F$65,MATCH(M48,Tarifas!$A$3:$A$65,0),MATCH(N48,Tarifas!$B$2:$F$2,0)),0)))),"")</f>
        <v/>
      </c>
      <c r="P48" s="27">
        <f>IF(NOT(OR(B48&lt;&gt;"",C48&lt;&gt;"",D48&lt;&gt;"",E48&lt;&gt;"",F48&lt;&gt;"",G48&lt;&gt;"",H48&lt;&gt;"",I48&lt;&gt;"",J48&lt;&gt;"",K48&lt;&gt;"",N48&lt;&gt;"")),"",IF(AND(B48&lt;&gt;"",C48&lt;&gt;"",D48&lt;&gt;"",E48&lt;&gt;"",F48&lt;&gt;"",G48&lt;&gt;"",H48&lt;&gt;"",I48&lt;&gt;"",J48&lt;&gt;"",K48&lt;&gt;"",N48&lt;&gt;""),"✓ Completo","⚠ Faltan datos"))</f>
        <v/>
      </c>
      <c r="Q48" s="24" t="n"/>
    </row>
    <row r="49" ht="21" customHeight="1">
      <c r="A49" s="13" t="n">
        <v>43</v>
      </c>
      <c r="B49" s="14" t="n"/>
      <c r="C49" s="14" t="n"/>
      <c r="D49" s="14" t="n"/>
      <c r="E49" s="14" t="n"/>
      <c r="F49" s="15" t="n"/>
      <c r="G49" s="14" t="n"/>
      <c r="H49" s="16" t="n"/>
      <c r="I49" s="17" t="n"/>
      <c r="J49" s="17" t="n"/>
      <c r="K49" s="18" t="n"/>
      <c r="L49" s="14" t="n"/>
      <c r="M49" s="14" t="n"/>
      <c r="N49" s="16" t="n"/>
      <c r="O49" s="19">
        <f>IFERROR(IF(N49="","",IF(MAX(IFERROR(INDEX(Tarifas!$B$3:$F$65,MATCH(K49,Tarifas!$A$3:$A$65,0),MATCH(N49,Tarifas!$B$2:$F$2,0)),0),IFERROR(INDEX(Tarifas!$B$3:$F$65,MATCH(L49,Tarifas!$A$3:$A$65,0),MATCH(N49,Tarifas!$B$2:$F$2,0)),0),IFERROR(INDEX(Tarifas!$B$3:$F$65,MATCH(M49,Tarifas!$A$3:$A$65,0),MATCH(N49,Tarifas!$B$2:$F$2,0)),0))=0,"",MAX(IFERROR(INDEX(Tarifas!$B$3:$F$65,MATCH(K49,Tarifas!$A$3:$A$65,0),MATCH(N49,Tarifas!$B$2:$F$2,0)),0),IFERROR(INDEX(Tarifas!$B$3:$F$65,MATCH(L49,Tarifas!$A$3:$A$65,0),MATCH(N49,Tarifas!$B$2:$F$2,0)),0),IFERROR(INDEX(Tarifas!$B$3:$F$65,MATCH(M49,Tarifas!$A$3:$A$65,0),MATCH(N49,Tarifas!$B$2:$F$2,0)),0)))),"")</f>
        <v/>
      </c>
      <c r="P49" s="20">
        <f>IF(NOT(OR(B49&lt;&gt;"",C49&lt;&gt;"",D49&lt;&gt;"",E49&lt;&gt;"",F49&lt;&gt;"",G49&lt;&gt;"",H49&lt;&gt;"",I49&lt;&gt;"",J49&lt;&gt;"",K49&lt;&gt;"",N49&lt;&gt;"")),"",IF(AND(B49&lt;&gt;"",C49&lt;&gt;"",D49&lt;&gt;"",E49&lt;&gt;"",F49&lt;&gt;"",G49&lt;&gt;"",H49&lt;&gt;"",I49&lt;&gt;"",J49&lt;&gt;"",K49&lt;&gt;"",N49&lt;&gt;""),"✓ Completo","⚠ Faltan datos"))</f>
        <v/>
      </c>
      <c r="Q49" s="16" t="n"/>
    </row>
    <row r="50" ht="21" customHeight="1">
      <c r="A50" s="21" t="n">
        <v>44</v>
      </c>
      <c r="B50" s="22" t="n"/>
      <c r="C50" s="22" t="n"/>
      <c r="D50" s="22" t="n"/>
      <c r="E50" s="22" t="n"/>
      <c r="F50" s="23" t="n"/>
      <c r="G50" s="22" t="n"/>
      <c r="H50" s="24" t="n"/>
      <c r="I50" s="25" t="n"/>
      <c r="J50" s="25" t="n"/>
      <c r="K50" s="26" t="n"/>
      <c r="L50" s="22" t="n"/>
      <c r="M50" s="22" t="n"/>
      <c r="N50" s="24" t="n"/>
      <c r="O50" s="19">
        <f>IFERROR(IF(N50="","",IF(MAX(IFERROR(INDEX(Tarifas!$B$3:$F$65,MATCH(K50,Tarifas!$A$3:$A$65,0),MATCH(N50,Tarifas!$B$2:$F$2,0)),0),IFERROR(INDEX(Tarifas!$B$3:$F$65,MATCH(L50,Tarifas!$A$3:$A$65,0),MATCH(N50,Tarifas!$B$2:$F$2,0)),0),IFERROR(INDEX(Tarifas!$B$3:$F$65,MATCH(M50,Tarifas!$A$3:$A$65,0),MATCH(N50,Tarifas!$B$2:$F$2,0)),0))=0,"",MAX(IFERROR(INDEX(Tarifas!$B$3:$F$65,MATCH(K50,Tarifas!$A$3:$A$65,0),MATCH(N50,Tarifas!$B$2:$F$2,0)),0),IFERROR(INDEX(Tarifas!$B$3:$F$65,MATCH(L50,Tarifas!$A$3:$A$65,0),MATCH(N50,Tarifas!$B$2:$F$2,0)),0),IFERROR(INDEX(Tarifas!$B$3:$F$65,MATCH(M50,Tarifas!$A$3:$A$65,0),MATCH(N50,Tarifas!$B$2:$F$2,0)),0)))),"")</f>
        <v/>
      </c>
      <c r="P50" s="27">
        <f>IF(NOT(OR(B50&lt;&gt;"",C50&lt;&gt;"",D50&lt;&gt;"",E50&lt;&gt;"",F50&lt;&gt;"",G50&lt;&gt;"",H50&lt;&gt;"",I50&lt;&gt;"",J50&lt;&gt;"",K50&lt;&gt;"",N50&lt;&gt;"")),"",IF(AND(B50&lt;&gt;"",C50&lt;&gt;"",D50&lt;&gt;"",E50&lt;&gt;"",F50&lt;&gt;"",G50&lt;&gt;"",H50&lt;&gt;"",I50&lt;&gt;"",J50&lt;&gt;"",K50&lt;&gt;"",N50&lt;&gt;""),"✓ Completo","⚠ Faltan datos"))</f>
        <v/>
      </c>
      <c r="Q50" s="24" t="n"/>
    </row>
    <row r="51" ht="21" customHeight="1">
      <c r="A51" s="13" t="n">
        <v>45</v>
      </c>
      <c r="B51" s="14" t="n"/>
      <c r="C51" s="14" t="n"/>
      <c r="D51" s="14" t="n"/>
      <c r="E51" s="14" t="n"/>
      <c r="F51" s="15" t="n"/>
      <c r="G51" s="14" t="n"/>
      <c r="H51" s="16" t="n"/>
      <c r="I51" s="17" t="n"/>
      <c r="J51" s="17" t="n"/>
      <c r="K51" s="18" t="n"/>
      <c r="L51" s="14" t="n"/>
      <c r="M51" s="14" t="n"/>
      <c r="N51" s="16" t="n"/>
      <c r="O51" s="19">
        <f>IFERROR(IF(N51="","",IF(MAX(IFERROR(INDEX(Tarifas!$B$3:$F$65,MATCH(K51,Tarifas!$A$3:$A$65,0),MATCH(N51,Tarifas!$B$2:$F$2,0)),0),IFERROR(INDEX(Tarifas!$B$3:$F$65,MATCH(L51,Tarifas!$A$3:$A$65,0),MATCH(N51,Tarifas!$B$2:$F$2,0)),0),IFERROR(INDEX(Tarifas!$B$3:$F$65,MATCH(M51,Tarifas!$A$3:$A$65,0),MATCH(N51,Tarifas!$B$2:$F$2,0)),0))=0,"",MAX(IFERROR(INDEX(Tarifas!$B$3:$F$65,MATCH(K51,Tarifas!$A$3:$A$65,0),MATCH(N51,Tarifas!$B$2:$F$2,0)),0),IFERROR(INDEX(Tarifas!$B$3:$F$65,MATCH(L51,Tarifas!$A$3:$A$65,0),MATCH(N51,Tarifas!$B$2:$F$2,0)),0),IFERROR(INDEX(Tarifas!$B$3:$F$65,MATCH(M51,Tarifas!$A$3:$A$65,0),MATCH(N51,Tarifas!$B$2:$F$2,0)),0)))),"")</f>
        <v/>
      </c>
      <c r="P51" s="20">
        <f>IF(NOT(OR(B51&lt;&gt;"",C51&lt;&gt;"",D51&lt;&gt;"",E51&lt;&gt;"",F51&lt;&gt;"",G51&lt;&gt;"",H51&lt;&gt;"",I51&lt;&gt;"",J51&lt;&gt;"",K51&lt;&gt;"",N51&lt;&gt;"")),"",IF(AND(B51&lt;&gt;"",C51&lt;&gt;"",D51&lt;&gt;"",E51&lt;&gt;"",F51&lt;&gt;"",G51&lt;&gt;"",H51&lt;&gt;"",I51&lt;&gt;"",J51&lt;&gt;"",K51&lt;&gt;"",N51&lt;&gt;""),"✓ Completo","⚠ Faltan datos"))</f>
        <v/>
      </c>
      <c r="Q51" s="16" t="n"/>
    </row>
    <row r="52" ht="21" customHeight="1">
      <c r="A52" s="21" t="n">
        <v>46</v>
      </c>
      <c r="B52" s="22" t="n"/>
      <c r="C52" s="22" t="n"/>
      <c r="D52" s="22" t="n"/>
      <c r="E52" s="22" t="n"/>
      <c r="F52" s="23" t="n"/>
      <c r="G52" s="22" t="n"/>
      <c r="H52" s="24" t="n"/>
      <c r="I52" s="25" t="n"/>
      <c r="J52" s="25" t="n"/>
      <c r="K52" s="26" t="n"/>
      <c r="L52" s="22" t="n"/>
      <c r="M52" s="22" t="n"/>
      <c r="N52" s="24" t="n"/>
      <c r="O52" s="19">
        <f>IFERROR(IF(N52="","",IF(MAX(IFERROR(INDEX(Tarifas!$B$3:$F$65,MATCH(K52,Tarifas!$A$3:$A$65,0),MATCH(N52,Tarifas!$B$2:$F$2,0)),0),IFERROR(INDEX(Tarifas!$B$3:$F$65,MATCH(L52,Tarifas!$A$3:$A$65,0),MATCH(N52,Tarifas!$B$2:$F$2,0)),0),IFERROR(INDEX(Tarifas!$B$3:$F$65,MATCH(M52,Tarifas!$A$3:$A$65,0),MATCH(N52,Tarifas!$B$2:$F$2,0)),0))=0,"",MAX(IFERROR(INDEX(Tarifas!$B$3:$F$65,MATCH(K52,Tarifas!$A$3:$A$65,0),MATCH(N52,Tarifas!$B$2:$F$2,0)),0),IFERROR(INDEX(Tarifas!$B$3:$F$65,MATCH(L52,Tarifas!$A$3:$A$65,0),MATCH(N52,Tarifas!$B$2:$F$2,0)),0),IFERROR(INDEX(Tarifas!$B$3:$F$65,MATCH(M52,Tarifas!$A$3:$A$65,0),MATCH(N52,Tarifas!$B$2:$F$2,0)),0)))),"")</f>
        <v/>
      </c>
      <c r="P52" s="27">
        <f>IF(NOT(OR(B52&lt;&gt;"",C52&lt;&gt;"",D52&lt;&gt;"",E52&lt;&gt;"",F52&lt;&gt;"",G52&lt;&gt;"",H52&lt;&gt;"",I52&lt;&gt;"",J52&lt;&gt;"",K52&lt;&gt;"",N52&lt;&gt;"")),"",IF(AND(B52&lt;&gt;"",C52&lt;&gt;"",D52&lt;&gt;"",E52&lt;&gt;"",F52&lt;&gt;"",G52&lt;&gt;"",H52&lt;&gt;"",I52&lt;&gt;"",J52&lt;&gt;"",K52&lt;&gt;"",N52&lt;&gt;""),"✓ Completo","⚠ Faltan datos"))</f>
        <v/>
      </c>
      <c r="Q52" s="24" t="n"/>
    </row>
    <row r="53" ht="21" customHeight="1">
      <c r="A53" s="13" t="n">
        <v>47</v>
      </c>
      <c r="B53" s="14" t="n"/>
      <c r="C53" s="14" t="n"/>
      <c r="D53" s="14" t="n"/>
      <c r="E53" s="14" t="n"/>
      <c r="F53" s="15" t="n"/>
      <c r="G53" s="14" t="n"/>
      <c r="H53" s="16" t="n"/>
      <c r="I53" s="17" t="n"/>
      <c r="J53" s="17" t="n"/>
      <c r="K53" s="18" t="n"/>
      <c r="L53" s="14" t="n"/>
      <c r="M53" s="14" t="n"/>
      <c r="N53" s="16" t="n"/>
      <c r="O53" s="19">
        <f>IFERROR(IF(N53="","",IF(MAX(IFERROR(INDEX(Tarifas!$B$3:$F$65,MATCH(K53,Tarifas!$A$3:$A$65,0),MATCH(N53,Tarifas!$B$2:$F$2,0)),0),IFERROR(INDEX(Tarifas!$B$3:$F$65,MATCH(L53,Tarifas!$A$3:$A$65,0),MATCH(N53,Tarifas!$B$2:$F$2,0)),0),IFERROR(INDEX(Tarifas!$B$3:$F$65,MATCH(M53,Tarifas!$A$3:$A$65,0),MATCH(N53,Tarifas!$B$2:$F$2,0)),0))=0,"",MAX(IFERROR(INDEX(Tarifas!$B$3:$F$65,MATCH(K53,Tarifas!$A$3:$A$65,0),MATCH(N53,Tarifas!$B$2:$F$2,0)),0),IFERROR(INDEX(Tarifas!$B$3:$F$65,MATCH(L53,Tarifas!$A$3:$A$65,0),MATCH(N53,Tarifas!$B$2:$F$2,0)),0),IFERROR(INDEX(Tarifas!$B$3:$F$65,MATCH(M53,Tarifas!$A$3:$A$65,0),MATCH(N53,Tarifas!$B$2:$F$2,0)),0)))),"")</f>
        <v/>
      </c>
      <c r="P53" s="20">
        <f>IF(NOT(OR(B53&lt;&gt;"",C53&lt;&gt;"",D53&lt;&gt;"",E53&lt;&gt;"",F53&lt;&gt;"",G53&lt;&gt;"",H53&lt;&gt;"",I53&lt;&gt;"",J53&lt;&gt;"",K53&lt;&gt;"",N53&lt;&gt;"")),"",IF(AND(B53&lt;&gt;"",C53&lt;&gt;"",D53&lt;&gt;"",E53&lt;&gt;"",F53&lt;&gt;"",G53&lt;&gt;"",H53&lt;&gt;"",I53&lt;&gt;"",J53&lt;&gt;"",K53&lt;&gt;"",N53&lt;&gt;""),"✓ Completo","⚠ Faltan datos"))</f>
        <v/>
      </c>
      <c r="Q53" s="16" t="n"/>
    </row>
    <row r="55" ht="30" customHeight="1">
      <c r="A55" s="28" t="inlineStr">
        <is>
          <t>RESUMEN</t>
        </is>
      </c>
      <c r="B55" s="29" t="n"/>
      <c r="C55" s="29" t="n"/>
      <c r="D55" s="29" t="n"/>
      <c r="E55" s="29" t="n"/>
      <c r="F55" s="29" t="n"/>
      <c r="G55" s="29" t="n"/>
      <c r="H55" s="29" t="n"/>
      <c r="I55" s="29" t="n"/>
      <c r="J55" s="29" t="n"/>
      <c r="K55" s="30" t="inlineStr">
        <is>
          <t>Pacientes asegurados:</t>
        </is>
      </c>
      <c r="L55" s="31">
        <f>COUNTA(C7:C53)</f>
        <v/>
      </c>
      <c r="M55" s="32" t="inlineStr">
        <is>
          <t>PRIMA TOTAL:</t>
        </is>
      </c>
      <c r="N55" s="29" t="n"/>
      <c r="O55" s="33">
        <f>SUM(O7:O53)</f>
        <v/>
      </c>
      <c r="P55" s="34">
        <f>COUNTIF(P7:P53,"✓ Completo")&amp;" OK"</f>
        <v/>
      </c>
      <c r="Q55" s="34">
        <f>COUNTA(Q7:Q53)&amp;" con póliza"</f>
        <v/>
      </c>
    </row>
    <row r="57" ht="19.95" customHeight="1">
      <c r="A57" s="35" t="inlineStr">
        <is>
          <r>
            <rPr>
              <rFont val="Calibri"/>
              <b val="1"/>
              <color rgb="FF9A6A00"/>
              <sz val="9"/>
            </rPr>
            <t>⚠ El Nº de póliza lo asigna medassure: cuando una fila tiene póliza, el paciente queda marcado en verde.</t>
          </r>
        </is>
      </c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</row>
    <row r="58" ht="34.05" customHeight="1">
      <c r="A58" s="37" t="inlineStr">
        <is>
          <t>Nota — Hasta 3 tratamientos sin recargo — la prima corresponde al tratamiento de mayor importe según la duración elegida.   ·   «✓ Completo» requiere todos los campos marcados con * (tratamientos 2–3 opcionales).   ·   Comunique cualquier complicación en ≤ 7 días a siniestros@iberassekuranz.es (Tel. 91 781 56 32).   ·   Las altas de octubre se pueden enviar hasta el 5 de noviembre.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0" formatCells="0" formatRows="0" sort="0"/>
  <mergeCells count="10">
    <mergeCell ref="A58:Q58"/>
    <mergeCell ref="A3:Q3"/>
    <mergeCell ref="M55:N55"/>
    <mergeCell ref="A4:Q4"/>
    <mergeCell ref="A57:Q57"/>
    <mergeCell ref="A2:Q2"/>
    <mergeCell ref="A55:J55"/>
    <mergeCell ref="C5:J5"/>
    <mergeCell ref="K5:O5"/>
    <mergeCell ref="A1:Q1"/>
  </mergeCells>
  <conditionalFormatting sqref="B7:K53 N7:N53">
    <cfRule type="expression" priority="1" dxfId="0">
      <formula>AND(OR($B7&lt;&gt;"",$C7&lt;&gt;"",$D7&lt;&gt;"",$E7&lt;&gt;"",$F7&lt;&gt;"",$G7&lt;&gt;"",$H7&lt;&gt;"",$I7&lt;&gt;"",$J7&lt;&gt;"",$K7&lt;&gt;"",$N7&lt;&gt;""),B7="")</formula>
    </cfRule>
  </conditionalFormatting>
  <conditionalFormatting sqref="C7:D53">
    <cfRule type="expression" priority="2" dxfId="1">
      <formula>$Q7&lt;&gt;""</formula>
    </cfRule>
  </conditionalFormatting>
  <conditionalFormatting sqref="Q7:Q53">
    <cfRule type="expression" priority="3" dxfId="2">
      <formula>$Q7&lt;&gt;""</formula>
    </cfRule>
  </conditionalFormatting>
  <conditionalFormatting sqref="P7:P53">
    <cfRule type="containsText" priority="4" operator="containsText" dxfId="3" text="Completo">
      <formula>NOT(ISERROR(SEARCH("Completo",P7)))</formula>
    </cfRule>
    <cfRule type="containsText" priority="5" operator="containsText" dxfId="4" text="Faltan">
      <formula>NOT(ISERROR(SEARCH("Faltan",P7)))</formula>
    </cfRule>
  </conditionalFormatting>
  <dataValidations count="7">
    <dataValidation sqref="B7:B53" showDropDown="0" showInputMessage="1" showErrorMessage="0" allowBlank="1" promptTitle="Cirujano/a" prompt="Elija el cirujano/a de la lista desplegable ▼" type="list">
      <formula1>"Dra. Nazaret Ruiz López,Dr. Roberto Miranda López"</formula1>
    </dataValidation>
    <dataValidation sqref="E7:E53" showDropDown="0" showInputMessage="1" showErrorMessage="0" allowBlank="1" promptTitle="Dirección" prompt="Escriba calle y número. Ej.: C. Balmes 12, 3º 2ª" type="textLength" operator="greaterThan">
      <formula1>0</formula1>
    </dataValidation>
    <dataValidation sqref="I7:I53" showDropDown="0" showInputMessage="1" showErrorMessage="0" allowBlank="1" promptTitle="Fecha" prompt="Fecha de nacimiento (dd.mm.aaaa)"/>
    <dataValidation sqref="J7:J53" showDropDown="0" showInputMessage="1" showErrorMessage="0" allowBlank="1" promptTitle="Fecha" prompt="Fecha de operación (dd.mm.aaaa)"/>
    <dataValidation sqref="K7:K53" showDropDown="0" showInputMessage="1" showErrorMessage="0" allowBlank="1" promptTitle="Tratamiento" prompt="Elija un tratamiento de la lista desplegable ▼" type="list">
      <formula1>Tratamientos</formula1>
    </dataValidation>
    <dataValidation sqref="L7:M53" showDropDown="0" showInputMessage="0" showErrorMessage="0" allowBlank="1" promptTitle="Tratamiento" prompt="Elija un tratamiento de la lista desplegable ▼" type="list">
      <formula1>Tratamientos</formula1>
    </dataValidation>
    <dataValidation sqref="N7:N53" showDropDown="0" showInputMessage="1" showErrorMessage="0" allowBlank="1" promptTitle="Duración" prompt="Elija la duración: de 1 a 5 años" type="list">
      <formula1>Duraciones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D4941A"/>
    <outlinePr summaryBelow="1" summaryRight="1"/>
    <pageSetUpPr/>
  </sheetPr>
  <dimension ref="A1:Q58"/>
  <sheetViews>
    <sheetView showGridLines="0" tabSelected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16" customWidth="1" min="4" max="4"/>
    <col width="32" customWidth="1" min="5" max="5"/>
    <col width="14" customWidth="1" min="6" max="6"/>
    <col width="16" customWidth="1" min="7" max="7"/>
    <col width="11" customWidth="1" min="8" max="8"/>
    <col width="14" customWidth="1" min="9" max="9"/>
    <col width="14" customWidth="1" min="10" max="10"/>
    <col width="34" customWidth="1" min="11" max="11"/>
    <col width="24" customWidth="1" min="12" max="12"/>
    <col width="24" customWidth="1" min="13" max="13"/>
    <col width="11" customWidth="1" min="14" max="14"/>
    <col width="14" customWidth="1" min="15" max="15"/>
    <col width="15" customWidth="1" min="16" max="16"/>
    <col width="16" customWidth="1" min="17" max="17"/>
  </cols>
  <sheetData>
    <row r="1" ht="46.05" customHeight="1">
      <c r="A1" s="1" t="inlineStr">
        <is>
          <r>
            <rPr>
              <rFont val="Calibri"/>
              <b val="1"/>
              <color rgb="FFFFFFFF"/>
              <sz val="22"/>
            </rPr>
            <t xml:space="preserve">     medassure beauty</t>
          </r>
          <r>
            <rPr>
              <rFont val="Calibri"/>
              <color rgb="FFEFD6A8"/>
              <sz val="13"/>
            </rPr>
            <t xml:space="preserve">      Seguro de cirugía estética</t>
          </r>
          <r>
            <rPr>
              <rFont val="Calibri"/>
              <color rgb="FFEFD6A8"/>
              <sz val="13"/>
            </rPr>
            <t xml:space="preserve">   ·   </t>
          </r>
          <r>
            <rPr>
              <rFont val="Calibri"/>
              <b val="1"/>
              <color rgb="FFFFFFFF"/>
              <sz val="13"/>
            </rPr>
            <t>Noviembre</t>
          </r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9.95" customHeight="1">
      <c r="A2" s="3" t="inlineStr">
        <is>
          <r>
            <rPr>
              <rFont val="Calibri"/>
              <b val="1"/>
              <color rgb="FF7A5208"/>
              <sz val="10"/>
            </rPr>
            <t>Seleccione los tratamientos y la duración utilizando las pestañas desplegables (▼). La prima se calculará automáticamente en función del tratamiento de mayor importe seleccionado.</t>
          </r>
          <r>
            <rPr>
              <rFont val="Calibri"/>
              <i val="1"/>
              <color rgb="FF14202E"/>
              <sz val="10"/>
            </rPr>
            <t xml:space="preserve">      Para dudas relacionadas con las altas de los pacientes: </t>
          </r>
          <r>
            <rPr>
              <rFont val="Calibri"/>
              <b val="1"/>
              <color rgb="FF7A5208"/>
              <sz val="10"/>
            </rPr>
            <t>info@medassure.es</t>
          </r>
          <r>
            <rPr>
              <rFont val="Calibri"/>
              <i val="1"/>
              <color rgb="FF14202E"/>
              <sz val="10"/>
            </rPr>
            <t xml:space="preserve">  ·  WhatsApp </t>
          </r>
          <r>
            <rPr>
              <rFont val="Calibri"/>
              <b val="1"/>
              <color rgb="FF7A5208"/>
              <sz val="10"/>
            </rPr>
            <t>672 69 68 21</t>
          </r>
        </is>
      </c>
    </row>
    <row r="3" ht="24" customHeight="1">
      <c r="A3" s="4" t="inlineStr">
        <is>
          <r>
            <rPr>
              <rFont val="Calibri"/>
              <b val="1"/>
              <color rgb="FF98A2B0"/>
              <sz val="9"/>
            </rPr>
            <t xml:space="preserve">PLAZO  </t>
          </r>
          <r>
            <rPr>
              <rFont val="Calibri"/>
              <color rgb="FF14202E"/>
              <sz val="10"/>
            </rPr>
            <t xml:space="preserve">Las altas de noviembre se pueden enviar </t>
          </r>
          <r>
            <rPr>
              <rFont val="Calibri"/>
              <b val="1"/>
              <color rgb="FF7A5208"/>
              <sz val="10"/>
            </rPr>
            <t>hasta el 5 de diciembre</t>
          </r>
          <r>
            <rPr>
              <rFont val="Calibri"/>
              <b val="1"/>
              <color rgb="FF98A2B0"/>
              <sz val="9"/>
            </rPr>
            <t xml:space="preserve">        CONDICIONES  </t>
          </r>
          <r>
            <rPr>
              <rFont val="Calibri"/>
              <color rgb="FF14202E"/>
              <sz val="10"/>
            </rPr>
            <t xml:space="preserve">Duración: </t>
          </r>
          <r>
            <rPr>
              <rFont val="Calibri"/>
              <b val="1"/>
              <color rgb="FF14202E"/>
              <sz val="10"/>
            </rPr>
            <t>1 año</t>
          </r>
          <r>
            <rPr>
              <rFont val="Calibri"/>
              <color rgb="FF98A2B0"/>
              <sz val="10"/>
            </rPr>
            <t xml:space="preserve">  →  </t>
          </r>
          <r>
            <rPr>
              <rFont val="Calibri"/>
              <b val="1"/>
              <color rgb="FF7A5208"/>
              <sz val="10"/>
            </rPr>
            <t>5 años</t>
          </r>
          <r>
            <rPr>
              <rFont val="Calibri"/>
              <color rgb="FF14202E"/>
              <sz val="10"/>
            </rPr>
            <t xml:space="preserve">        Hasta </t>
          </r>
          <r>
            <rPr>
              <rFont val="Calibri"/>
              <b val="1"/>
              <color rgb="FF14202E"/>
              <sz val="10"/>
            </rPr>
            <t>3 tratamientos</t>
          </r>
          <r>
            <rPr>
              <rFont val="Calibri"/>
              <color rgb="FF14202E"/>
              <sz val="10"/>
            </rPr>
            <t xml:space="preserve"> por paciente</t>
          </r>
          <r>
            <rPr>
              <rFont val="Calibri"/>
              <i val="1"/>
              <color rgb="FF98A2B0"/>
              <sz val="9"/>
            </rPr>
            <t xml:space="preserve">  (la prima corresponde al tratamiento de mayor importe)</t>
          </r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</row>
    <row r="4" ht="19.95" customHeight="1">
      <c r="A4" s="6" t="inlineStr">
        <is>
          <r>
            <rPr>
              <rFont val="Calibri"/>
              <family val="2"/>
              <b val="1"/>
              <color rgb="FF9A2A2A"/>
              <sz val="10"/>
            </rPr>
            <t xml:space="preserve">⚠  IMPORTANTE  </t>
          </r>
          <r>
            <rPr>
              <rFont val="Calibri"/>
              <family val="2"/>
              <color rgb="FF9A2A2A"/>
              <sz val="10"/>
            </rPr>
            <t xml:space="preserve">Comunique cualquier complicación en un plazo máximo de </t>
          </r>
          <r>
            <rPr>
              <rFont val="Calibri"/>
              <family val="2"/>
              <b val="1"/>
              <color rgb="FF9A2A2A"/>
              <sz val="10"/>
            </rPr>
            <t>7 días</t>
          </r>
          <r>
            <rPr>
              <rFont val="Calibri"/>
              <family val="2"/>
              <color rgb="FF9A2A2A"/>
              <sz val="10"/>
            </rPr>
            <t xml:space="preserve"> a  </t>
          </r>
          <r>
            <rPr>
              <rFont val="Calibri"/>
              <family val="2"/>
              <b val="1"/>
              <color rgb="FF9A2A2A"/>
              <sz val="10"/>
            </rPr>
            <t>siniestros@iberassekuranz.es</t>
          </r>
          <r>
            <rPr>
              <rFont val="Calibri"/>
              <family val="2"/>
              <color rgb="FF9A2A2A"/>
              <sz val="10"/>
            </rPr>
            <t xml:space="preserve">   ·   Tel. </t>
          </r>
          <r>
            <rPr>
              <rFont val="Calibri"/>
              <family val="2"/>
              <b val="1"/>
              <color rgb="FF9A2A2A"/>
              <sz val="10"/>
            </rPr>
            <t>91 781 56 32</t>
          </r>
          <r>
            <rPr>
              <rFont val="Calibri"/>
              <family val="2"/>
              <color rgb="FF9A2A2A"/>
              <sz val="10"/>
            </rPr>
            <t>.</t>
          </r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</row>
    <row r="5" ht="16.95" customHeight="1">
      <c r="A5" s="8" t="n"/>
      <c r="B5" s="9" t="inlineStr">
        <is>
          <t>MÉDICO</t>
        </is>
      </c>
      <c r="C5" s="9" t="inlineStr">
        <is>
          <t>DATOS DEL PACIENTE</t>
        </is>
      </c>
      <c r="D5" s="9" t="n"/>
      <c r="E5" s="9" t="n"/>
      <c r="F5" s="9" t="n"/>
      <c r="G5" s="9" t="n"/>
      <c r="H5" s="9" t="n"/>
      <c r="I5" s="9" t="n"/>
      <c r="J5" s="9" t="n"/>
      <c r="K5" s="9" t="inlineStr">
        <is>
          <t>DATOS DE LA PÓLIZA</t>
        </is>
      </c>
      <c r="L5" s="9" t="n"/>
      <c r="M5" s="9" t="n"/>
      <c r="N5" s="9" t="n"/>
      <c r="O5" s="9" t="n"/>
      <c r="P5" s="9" t="inlineStr">
        <is>
          <t>ESTADO</t>
        </is>
      </c>
      <c r="Q5" s="9" t="inlineStr">
        <is>
          <t>PÓLIZA</t>
        </is>
      </c>
    </row>
    <row r="6" ht="30" customHeight="1">
      <c r="A6" s="10" t="inlineStr">
        <is>
          <t>Nº</t>
        </is>
      </c>
      <c r="B6" s="11" t="inlineStr">
        <is>
          <t>Cirujano/a *</t>
        </is>
      </c>
      <c r="C6" s="11" t="inlineStr">
        <is>
          <t>Nombre *</t>
        </is>
      </c>
      <c r="D6" s="11" t="inlineStr">
        <is>
          <t>Apellidos *</t>
        </is>
      </c>
      <c r="E6" s="11" t="inlineStr">
        <is>
          <t>Dirección *</t>
        </is>
      </c>
      <c r="F6" s="12" t="inlineStr">
        <is>
          <t>Código postal *</t>
        </is>
      </c>
      <c r="G6" s="11" t="inlineStr">
        <is>
          <t>Localidad *</t>
        </is>
      </c>
      <c r="H6" s="12" t="inlineStr">
        <is>
          <t>País *</t>
        </is>
      </c>
      <c r="I6" s="12" t="inlineStr">
        <is>
          <t>Fecha de nacimiento *</t>
        </is>
      </c>
      <c r="J6" s="12" t="inlineStr">
        <is>
          <t>Fecha de operación *</t>
        </is>
      </c>
      <c r="K6" s="11" t="inlineStr">
        <is>
          <t>Tratamiento 1 *</t>
        </is>
      </c>
      <c r="L6" s="11" t="inlineStr">
        <is>
          <t>Tratamiento 2 (opc.)</t>
        </is>
      </c>
      <c r="M6" s="11" t="inlineStr">
        <is>
          <t>Tratamiento 3 (opc.)</t>
        </is>
      </c>
      <c r="N6" s="12" t="inlineStr">
        <is>
          <t>Duración *</t>
        </is>
      </c>
      <c r="O6" s="12" t="inlineStr">
        <is>
          <t>Prima</t>
        </is>
      </c>
      <c r="P6" s="12" t="inlineStr">
        <is>
          <t>Estado</t>
        </is>
      </c>
      <c r="Q6" s="12" t="inlineStr">
        <is>
          <t>Nº Póliza</t>
        </is>
      </c>
    </row>
    <row r="7" ht="21" customHeight="1">
      <c r="A7" s="13" t="n">
        <v>1</v>
      </c>
      <c r="B7" s="14" t="n"/>
      <c r="C7" s="14" t="n"/>
      <c r="D7" s="14" t="n"/>
      <c r="E7" s="14" t="n"/>
      <c r="F7" s="15" t="n"/>
      <c r="G7" s="14" t="n"/>
      <c r="H7" s="16" t="n"/>
      <c r="I7" s="17" t="n"/>
      <c r="J7" s="17" t="n"/>
      <c r="K7" s="18" t="n"/>
      <c r="L7" s="14" t="n"/>
      <c r="M7" s="14" t="n"/>
      <c r="N7" s="16" t="n"/>
      <c r="O7" s="19">
        <f>IFERROR(IF(N7="","",IF(MAX(IFERROR(INDEX(Tarifas!$B$3:$F$65,MATCH(K7,Tarifas!$A$3:$A$65,0),MATCH(N7,Tarifas!$B$2:$F$2,0)),0),IFERROR(INDEX(Tarifas!$B$3:$F$65,MATCH(L7,Tarifas!$A$3:$A$65,0),MATCH(N7,Tarifas!$B$2:$F$2,0)),0),IFERROR(INDEX(Tarifas!$B$3:$F$65,MATCH(M7,Tarifas!$A$3:$A$65,0),MATCH(N7,Tarifas!$B$2:$F$2,0)),0))=0,"",MAX(IFERROR(INDEX(Tarifas!$B$3:$F$65,MATCH(K7,Tarifas!$A$3:$A$65,0),MATCH(N7,Tarifas!$B$2:$F$2,0)),0),IFERROR(INDEX(Tarifas!$B$3:$F$65,MATCH(L7,Tarifas!$A$3:$A$65,0),MATCH(N7,Tarifas!$B$2:$F$2,0)),0),IFERROR(INDEX(Tarifas!$B$3:$F$65,MATCH(M7,Tarifas!$A$3:$A$65,0),MATCH(N7,Tarifas!$B$2:$F$2,0)),0)))),"")</f>
        <v/>
      </c>
      <c r="P7" s="20">
        <f>IF(NOT(OR(B7&lt;&gt;"",C7&lt;&gt;"",D7&lt;&gt;"",E7&lt;&gt;"",F7&lt;&gt;"",G7&lt;&gt;"",H7&lt;&gt;"",I7&lt;&gt;"",J7&lt;&gt;"",K7&lt;&gt;"",N7&lt;&gt;"")),"",IF(AND(B7&lt;&gt;"",C7&lt;&gt;"",D7&lt;&gt;"",E7&lt;&gt;"",F7&lt;&gt;"",G7&lt;&gt;"",H7&lt;&gt;"",I7&lt;&gt;"",J7&lt;&gt;"",K7&lt;&gt;"",N7&lt;&gt;""),"✓ Completo","⚠ Faltan datos"))</f>
        <v/>
      </c>
      <c r="Q7" s="16" t="n"/>
    </row>
    <row r="8" ht="21" customHeight="1">
      <c r="A8" s="21" t="n">
        <v>2</v>
      </c>
      <c r="B8" s="22" t="n"/>
      <c r="C8" s="22" t="n"/>
      <c r="D8" s="22" t="n"/>
      <c r="E8" s="22" t="n"/>
      <c r="F8" s="23" t="n"/>
      <c r="G8" s="22" t="n"/>
      <c r="H8" s="24" t="n"/>
      <c r="I8" s="25" t="n"/>
      <c r="J8" s="25" t="n"/>
      <c r="K8" s="26" t="n"/>
      <c r="L8" s="22" t="n"/>
      <c r="M8" s="22" t="n"/>
      <c r="N8" s="24" t="n"/>
      <c r="O8" s="19">
        <f>IFERROR(IF(N8="","",IF(MAX(IFERROR(INDEX(Tarifas!$B$3:$F$65,MATCH(K8,Tarifas!$A$3:$A$65,0),MATCH(N8,Tarifas!$B$2:$F$2,0)),0),IFERROR(INDEX(Tarifas!$B$3:$F$65,MATCH(L8,Tarifas!$A$3:$A$65,0),MATCH(N8,Tarifas!$B$2:$F$2,0)),0),IFERROR(INDEX(Tarifas!$B$3:$F$65,MATCH(M8,Tarifas!$A$3:$A$65,0),MATCH(N8,Tarifas!$B$2:$F$2,0)),0))=0,"",MAX(IFERROR(INDEX(Tarifas!$B$3:$F$65,MATCH(K8,Tarifas!$A$3:$A$65,0),MATCH(N8,Tarifas!$B$2:$F$2,0)),0),IFERROR(INDEX(Tarifas!$B$3:$F$65,MATCH(L8,Tarifas!$A$3:$A$65,0),MATCH(N8,Tarifas!$B$2:$F$2,0)),0),IFERROR(INDEX(Tarifas!$B$3:$F$65,MATCH(M8,Tarifas!$A$3:$A$65,0),MATCH(N8,Tarifas!$B$2:$F$2,0)),0)))),"")</f>
        <v/>
      </c>
      <c r="P8" s="27">
        <f>IF(NOT(OR(B8&lt;&gt;"",C8&lt;&gt;"",D8&lt;&gt;"",E8&lt;&gt;"",F8&lt;&gt;"",G8&lt;&gt;"",H8&lt;&gt;"",I8&lt;&gt;"",J8&lt;&gt;"",K8&lt;&gt;"",N8&lt;&gt;"")),"",IF(AND(B8&lt;&gt;"",C8&lt;&gt;"",D8&lt;&gt;"",E8&lt;&gt;"",F8&lt;&gt;"",G8&lt;&gt;"",H8&lt;&gt;"",I8&lt;&gt;"",J8&lt;&gt;"",K8&lt;&gt;"",N8&lt;&gt;""),"✓ Completo","⚠ Faltan datos"))</f>
        <v/>
      </c>
      <c r="Q8" s="24" t="n"/>
    </row>
    <row r="9" ht="21" customHeight="1">
      <c r="A9" s="13" t="n">
        <v>3</v>
      </c>
      <c r="B9" s="14" t="n"/>
      <c r="C9" s="14" t="n"/>
      <c r="D9" s="14" t="n"/>
      <c r="E9" s="14" t="n"/>
      <c r="F9" s="15" t="n"/>
      <c r="G9" s="14" t="n"/>
      <c r="H9" s="16" t="n"/>
      <c r="I9" s="17" t="n"/>
      <c r="J9" s="17" t="n"/>
      <c r="K9" s="18" t="n"/>
      <c r="L9" s="14" t="n"/>
      <c r="M9" s="14" t="n"/>
      <c r="N9" s="16" t="n"/>
      <c r="O9" s="19">
        <f>IFERROR(IF(N9="","",IF(MAX(IFERROR(INDEX(Tarifas!$B$3:$F$65,MATCH(K9,Tarifas!$A$3:$A$65,0),MATCH(N9,Tarifas!$B$2:$F$2,0)),0),IFERROR(INDEX(Tarifas!$B$3:$F$65,MATCH(L9,Tarifas!$A$3:$A$65,0),MATCH(N9,Tarifas!$B$2:$F$2,0)),0),IFERROR(INDEX(Tarifas!$B$3:$F$65,MATCH(M9,Tarifas!$A$3:$A$65,0),MATCH(N9,Tarifas!$B$2:$F$2,0)),0))=0,"",MAX(IFERROR(INDEX(Tarifas!$B$3:$F$65,MATCH(K9,Tarifas!$A$3:$A$65,0),MATCH(N9,Tarifas!$B$2:$F$2,0)),0),IFERROR(INDEX(Tarifas!$B$3:$F$65,MATCH(L9,Tarifas!$A$3:$A$65,0),MATCH(N9,Tarifas!$B$2:$F$2,0)),0),IFERROR(INDEX(Tarifas!$B$3:$F$65,MATCH(M9,Tarifas!$A$3:$A$65,0),MATCH(N9,Tarifas!$B$2:$F$2,0)),0)))),"")</f>
        <v/>
      </c>
      <c r="P9" s="20">
        <f>IF(NOT(OR(B9&lt;&gt;"",C9&lt;&gt;"",D9&lt;&gt;"",E9&lt;&gt;"",F9&lt;&gt;"",G9&lt;&gt;"",H9&lt;&gt;"",I9&lt;&gt;"",J9&lt;&gt;"",K9&lt;&gt;"",N9&lt;&gt;"")),"",IF(AND(B9&lt;&gt;"",C9&lt;&gt;"",D9&lt;&gt;"",E9&lt;&gt;"",F9&lt;&gt;"",G9&lt;&gt;"",H9&lt;&gt;"",I9&lt;&gt;"",J9&lt;&gt;"",K9&lt;&gt;"",N9&lt;&gt;""),"✓ Completo","⚠ Faltan datos"))</f>
        <v/>
      </c>
      <c r="Q9" s="16" t="n"/>
    </row>
    <row r="10" ht="21" customHeight="1">
      <c r="A10" s="21" t="n">
        <v>4</v>
      </c>
      <c r="B10" s="22" t="n"/>
      <c r="C10" s="22" t="n"/>
      <c r="D10" s="22" t="n"/>
      <c r="E10" s="22" t="n"/>
      <c r="F10" s="23" t="n"/>
      <c r="G10" s="22" t="n"/>
      <c r="H10" s="24" t="n"/>
      <c r="I10" s="25" t="n"/>
      <c r="J10" s="25" t="n"/>
      <c r="K10" s="26" t="n"/>
      <c r="L10" s="22" t="n"/>
      <c r="M10" s="22" t="n"/>
      <c r="N10" s="24" t="n"/>
      <c r="O10" s="19">
        <f>IFERROR(IF(N10="","",IF(MAX(IFERROR(INDEX(Tarifas!$B$3:$F$65,MATCH(K10,Tarifas!$A$3:$A$65,0),MATCH(N10,Tarifas!$B$2:$F$2,0)),0),IFERROR(INDEX(Tarifas!$B$3:$F$65,MATCH(L10,Tarifas!$A$3:$A$65,0),MATCH(N10,Tarifas!$B$2:$F$2,0)),0),IFERROR(INDEX(Tarifas!$B$3:$F$65,MATCH(M10,Tarifas!$A$3:$A$65,0),MATCH(N10,Tarifas!$B$2:$F$2,0)),0))=0,"",MAX(IFERROR(INDEX(Tarifas!$B$3:$F$65,MATCH(K10,Tarifas!$A$3:$A$65,0),MATCH(N10,Tarifas!$B$2:$F$2,0)),0),IFERROR(INDEX(Tarifas!$B$3:$F$65,MATCH(L10,Tarifas!$A$3:$A$65,0),MATCH(N10,Tarifas!$B$2:$F$2,0)),0),IFERROR(INDEX(Tarifas!$B$3:$F$65,MATCH(M10,Tarifas!$A$3:$A$65,0),MATCH(N10,Tarifas!$B$2:$F$2,0)),0)))),"")</f>
        <v/>
      </c>
      <c r="P10" s="27">
        <f>IF(NOT(OR(B10&lt;&gt;"",C10&lt;&gt;"",D10&lt;&gt;"",E10&lt;&gt;"",F10&lt;&gt;"",G10&lt;&gt;"",H10&lt;&gt;"",I10&lt;&gt;"",J10&lt;&gt;"",K10&lt;&gt;"",N10&lt;&gt;"")),"",IF(AND(B10&lt;&gt;"",C10&lt;&gt;"",D10&lt;&gt;"",E10&lt;&gt;"",F10&lt;&gt;"",G10&lt;&gt;"",H10&lt;&gt;"",I10&lt;&gt;"",J10&lt;&gt;"",K10&lt;&gt;"",N10&lt;&gt;""),"✓ Completo","⚠ Faltan datos"))</f>
        <v/>
      </c>
      <c r="Q10" s="24" t="n"/>
    </row>
    <row r="11" ht="21" customHeight="1">
      <c r="A11" s="13" t="n">
        <v>5</v>
      </c>
      <c r="B11" s="14" t="n"/>
      <c r="C11" s="14" t="n"/>
      <c r="D11" s="14" t="n"/>
      <c r="E11" s="14" t="n"/>
      <c r="F11" s="15" t="n"/>
      <c r="G11" s="14" t="n"/>
      <c r="H11" s="16" t="n"/>
      <c r="I11" s="17" t="n"/>
      <c r="J11" s="17" t="n"/>
      <c r="K11" s="18" t="n"/>
      <c r="L11" s="14" t="n"/>
      <c r="M11" s="14" t="n"/>
      <c r="N11" s="16" t="n"/>
      <c r="O11" s="19">
        <f>IFERROR(IF(N11="","",IF(MAX(IFERROR(INDEX(Tarifas!$B$3:$F$65,MATCH(K11,Tarifas!$A$3:$A$65,0),MATCH(N11,Tarifas!$B$2:$F$2,0)),0),IFERROR(INDEX(Tarifas!$B$3:$F$65,MATCH(L11,Tarifas!$A$3:$A$65,0),MATCH(N11,Tarifas!$B$2:$F$2,0)),0),IFERROR(INDEX(Tarifas!$B$3:$F$65,MATCH(M11,Tarifas!$A$3:$A$65,0),MATCH(N11,Tarifas!$B$2:$F$2,0)),0))=0,"",MAX(IFERROR(INDEX(Tarifas!$B$3:$F$65,MATCH(K11,Tarifas!$A$3:$A$65,0),MATCH(N11,Tarifas!$B$2:$F$2,0)),0),IFERROR(INDEX(Tarifas!$B$3:$F$65,MATCH(L11,Tarifas!$A$3:$A$65,0),MATCH(N11,Tarifas!$B$2:$F$2,0)),0),IFERROR(INDEX(Tarifas!$B$3:$F$65,MATCH(M11,Tarifas!$A$3:$A$65,0),MATCH(N11,Tarifas!$B$2:$F$2,0)),0)))),"")</f>
        <v/>
      </c>
      <c r="P11" s="20">
        <f>IF(NOT(OR(B11&lt;&gt;"",C11&lt;&gt;"",D11&lt;&gt;"",E11&lt;&gt;"",F11&lt;&gt;"",G11&lt;&gt;"",H11&lt;&gt;"",I11&lt;&gt;"",J11&lt;&gt;"",K11&lt;&gt;"",N11&lt;&gt;"")),"",IF(AND(B11&lt;&gt;"",C11&lt;&gt;"",D11&lt;&gt;"",E11&lt;&gt;"",F11&lt;&gt;"",G11&lt;&gt;"",H11&lt;&gt;"",I11&lt;&gt;"",J11&lt;&gt;"",K11&lt;&gt;"",N11&lt;&gt;""),"✓ Completo","⚠ Faltan datos"))</f>
        <v/>
      </c>
      <c r="Q11" s="16" t="n"/>
    </row>
    <row r="12" ht="21" customHeight="1">
      <c r="A12" s="21" t="n">
        <v>6</v>
      </c>
      <c r="B12" s="22" t="n"/>
      <c r="C12" s="22" t="n"/>
      <c r="D12" s="22" t="n"/>
      <c r="E12" s="22" t="n"/>
      <c r="F12" s="23" t="n"/>
      <c r="G12" s="22" t="n"/>
      <c r="H12" s="24" t="n"/>
      <c r="I12" s="25" t="n"/>
      <c r="J12" s="25" t="n"/>
      <c r="K12" s="26" t="n"/>
      <c r="L12" s="22" t="n"/>
      <c r="M12" s="22" t="n"/>
      <c r="N12" s="24" t="n"/>
      <c r="O12" s="19">
        <f>IFERROR(IF(N12="","",IF(MAX(IFERROR(INDEX(Tarifas!$B$3:$F$65,MATCH(K12,Tarifas!$A$3:$A$65,0),MATCH(N12,Tarifas!$B$2:$F$2,0)),0),IFERROR(INDEX(Tarifas!$B$3:$F$65,MATCH(L12,Tarifas!$A$3:$A$65,0),MATCH(N12,Tarifas!$B$2:$F$2,0)),0),IFERROR(INDEX(Tarifas!$B$3:$F$65,MATCH(M12,Tarifas!$A$3:$A$65,0),MATCH(N12,Tarifas!$B$2:$F$2,0)),0))=0,"",MAX(IFERROR(INDEX(Tarifas!$B$3:$F$65,MATCH(K12,Tarifas!$A$3:$A$65,0),MATCH(N12,Tarifas!$B$2:$F$2,0)),0),IFERROR(INDEX(Tarifas!$B$3:$F$65,MATCH(L12,Tarifas!$A$3:$A$65,0),MATCH(N12,Tarifas!$B$2:$F$2,0)),0),IFERROR(INDEX(Tarifas!$B$3:$F$65,MATCH(M12,Tarifas!$A$3:$A$65,0),MATCH(N12,Tarifas!$B$2:$F$2,0)),0)))),"")</f>
        <v/>
      </c>
      <c r="P12" s="27">
        <f>IF(NOT(OR(B12&lt;&gt;"",C12&lt;&gt;"",D12&lt;&gt;"",E12&lt;&gt;"",F12&lt;&gt;"",G12&lt;&gt;"",H12&lt;&gt;"",I12&lt;&gt;"",J12&lt;&gt;"",K12&lt;&gt;"",N12&lt;&gt;"")),"",IF(AND(B12&lt;&gt;"",C12&lt;&gt;"",D12&lt;&gt;"",E12&lt;&gt;"",F12&lt;&gt;"",G12&lt;&gt;"",H12&lt;&gt;"",I12&lt;&gt;"",J12&lt;&gt;"",K12&lt;&gt;"",N12&lt;&gt;""),"✓ Completo","⚠ Faltan datos"))</f>
        <v/>
      </c>
      <c r="Q12" s="24" t="n"/>
    </row>
    <row r="13" ht="21" customHeight="1">
      <c r="A13" s="13" t="n">
        <v>7</v>
      </c>
      <c r="B13" s="14" t="n"/>
      <c r="C13" s="14" t="n"/>
      <c r="D13" s="14" t="n"/>
      <c r="E13" s="14" t="n"/>
      <c r="F13" s="15" t="n"/>
      <c r="G13" s="14" t="n"/>
      <c r="H13" s="16" t="n"/>
      <c r="I13" s="17" t="n"/>
      <c r="J13" s="17" t="n"/>
      <c r="K13" s="18" t="n"/>
      <c r="L13" s="14" t="n"/>
      <c r="M13" s="14" t="n"/>
      <c r="N13" s="16" t="n"/>
      <c r="O13" s="19">
        <f>IFERROR(IF(N13="","",IF(MAX(IFERROR(INDEX(Tarifas!$B$3:$F$65,MATCH(K13,Tarifas!$A$3:$A$65,0),MATCH(N13,Tarifas!$B$2:$F$2,0)),0),IFERROR(INDEX(Tarifas!$B$3:$F$65,MATCH(L13,Tarifas!$A$3:$A$65,0),MATCH(N13,Tarifas!$B$2:$F$2,0)),0),IFERROR(INDEX(Tarifas!$B$3:$F$65,MATCH(M13,Tarifas!$A$3:$A$65,0),MATCH(N13,Tarifas!$B$2:$F$2,0)),0))=0,"",MAX(IFERROR(INDEX(Tarifas!$B$3:$F$65,MATCH(K13,Tarifas!$A$3:$A$65,0),MATCH(N13,Tarifas!$B$2:$F$2,0)),0),IFERROR(INDEX(Tarifas!$B$3:$F$65,MATCH(L13,Tarifas!$A$3:$A$65,0),MATCH(N13,Tarifas!$B$2:$F$2,0)),0),IFERROR(INDEX(Tarifas!$B$3:$F$65,MATCH(M13,Tarifas!$A$3:$A$65,0),MATCH(N13,Tarifas!$B$2:$F$2,0)),0)))),"")</f>
        <v/>
      </c>
      <c r="P13" s="20">
        <f>IF(NOT(OR(B13&lt;&gt;"",C13&lt;&gt;"",D13&lt;&gt;"",E13&lt;&gt;"",F13&lt;&gt;"",G13&lt;&gt;"",H13&lt;&gt;"",I13&lt;&gt;"",J13&lt;&gt;"",K13&lt;&gt;"",N13&lt;&gt;"")),"",IF(AND(B13&lt;&gt;"",C13&lt;&gt;"",D13&lt;&gt;"",E13&lt;&gt;"",F13&lt;&gt;"",G13&lt;&gt;"",H13&lt;&gt;"",I13&lt;&gt;"",J13&lt;&gt;"",K13&lt;&gt;"",N13&lt;&gt;""),"✓ Completo","⚠ Faltan datos"))</f>
        <v/>
      </c>
      <c r="Q13" s="16" t="n"/>
    </row>
    <row r="14" ht="21" customHeight="1">
      <c r="A14" s="21" t="n">
        <v>8</v>
      </c>
      <c r="B14" s="22" t="n"/>
      <c r="C14" s="22" t="n"/>
      <c r="D14" s="22" t="n"/>
      <c r="E14" s="22" t="n"/>
      <c r="F14" s="23" t="n"/>
      <c r="G14" s="22" t="n"/>
      <c r="H14" s="24" t="n"/>
      <c r="I14" s="25" t="n"/>
      <c r="J14" s="25" t="n"/>
      <c r="K14" s="26" t="n"/>
      <c r="L14" s="22" t="n"/>
      <c r="M14" s="22" t="n"/>
      <c r="N14" s="24" t="n"/>
      <c r="O14" s="19">
        <f>IFERROR(IF(N14="","",IF(MAX(IFERROR(INDEX(Tarifas!$B$3:$F$65,MATCH(K14,Tarifas!$A$3:$A$65,0),MATCH(N14,Tarifas!$B$2:$F$2,0)),0),IFERROR(INDEX(Tarifas!$B$3:$F$65,MATCH(L14,Tarifas!$A$3:$A$65,0),MATCH(N14,Tarifas!$B$2:$F$2,0)),0),IFERROR(INDEX(Tarifas!$B$3:$F$65,MATCH(M14,Tarifas!$A$3:$A$65,0),MATCH(N14,Tarifas!$B$2:$F$2,0)),0))=0,"",MAX(IFERROR(INDEX(Tarifas!$B$3:$F$65,MATCH(K14,Tarifas!$A$3:$A$65,0),MATCH(N14,Tarifas!$B$2:$F$2,0)),0),IFERROR(INDEX(Tarifas!$B$3:$F$65,MATCH(L14,Tarifas!$A$3:$A$65,0),MATCH(N14,Tarifas!$B$2:$F$2,0)),0),IFERROR(INDEX(Tarifas!$B$3:$F$65,MATCH(M14,Tarifas!$A$3:$A$65,0),MATCH(N14,Tarifas!$B$2:$F$2,0)),0)))),"")</f>
        <v/>
      </c>
      <c r="P14" s="27">
        <f>IF(NOT(OR(B14&lt;&gt;"",C14&lt;&gt;"",D14&lt;&gt;"",E14&lt;&gt;"",F14&lt;&gt;"",G14&lt;&gt;"",H14&lt;&gt;"",I14&lt;&gt;"",J14&lt;&gt;"",K14&lt;&gt;"",N14&lt;&gt;"")),"",IF(AND(B14&lt;&gt;"",C14&lt;&gt;"",D14&lt;&gt;"",E14&lt;&gt;"",F14&lt;&gt;"",G14&lt;&gt;"",H14&lt;&gt;"",I14&lt;&gt;"",J14&lt;&gt;"",K14&lt;&gt;"",N14&lt;&gt;""),"✓ Completo","⚠ Faltan datos"))</f>
        <v/>
      </c>
      <c r="Q14" s="24" t="n"/>
    </row>
    <row r="15" ht="21" customHeight="1">
      <c r="A15" s="13" t="n">
        <v>9</v>
      </c>
      <c r="B15" s="14" t="n"/>
      <c r="C15" s="14" t="n"/>
      <c r="D15" s="14" t="n"/>
      <c r="E15" s="14" t="n"/>
      <c r="F15" s="15" t="n"/>
      <c r="G15" s="14" t="n"/>
      <c r="H15" s="16" t="n"/>
      <c r="I15" s="17" t="n"/>
      <c r="J15" s="17" t="n"/>
      <c r="K15" s="18" t="n"/>
      <c r="L15" s="14" t="n"/>
      <c r="M15" s="14" t="n"/>
      <c r="N15" s="16" t="n"/>
      <c r="O15" s="19">
        <f>IFERROR(IF(N15="","",IF(MAX(IFERROR(INDEX(Tarifas!$B$3:$F$65,MATCH(K15,Tarifas!$A$3:$A$65,0),MATCH(N15,Tarifas!$B$2:$F$2,0)),0),IFERROR(INDEX(Tarifas!$B$3:$F$65,MATCH(L15,Tarifas!$A$3:$A$65,0),MATCH(N15,Tarifas!$B$2:$F$2,0)),0),IFERROR(INDEX(Tarifas!$B$3:$F$65,MATCH(M15,Tarifas!$A$3:$A$65,0),MATCH(N15,Tarifas!$B$2:$F$2,0)),0))=0,"",MAX(IFERROR(INDEX(Tarifas!$B$3:$F$65,MATCH(K15,Tarifas!$A$3:$A$65,0),MATCH(N15,Tarifas!$B$2:$F$2,0)),0),IFERROR(INDEX(Tarifas!$B$3:$F$65,MATCH(L15,Tarifas!$A$3:$A$65,0),MATCH(N15,Tarifas!$B$2:$F$2,0)),0),IFERROR(INDEX(Tarifas!$B$3:$F$65,MATCH(M15,Tarifas!$A$3:$A$65,0),MATCH(N15,Tarifas!$B$2:$F$2,0)),0)))),"")</f>
        <v/>
      </c>
      <c r="P15" s="20">
        <f>IF(NOT(OR(B15&lt;&gt;"",C15&lt;&gt;"",D15&lt;&gt;"",E15&lt;&gt;"",F15&lt;&gt;"",G15&lt;&gt;"",H15&lt;&gt;"",I15&lt;&gt;"",J15&lt;&gt;"",K15&lt;&gt;"",N15&lt;&gt;"")),"",IF(AND(B15&lt;&gt;"",C15&lt;&gt;"",D15&lt;&gt;"",E15&lt;&gt;"",F15&lt;&gt;"",G15&lt;&gt;"",H15&lt;&gt;"",I15&lt;&gt;"",J15&lt;&gt;"",K15&lt;&gt;"",N15&lt;&gt;""),"✓ Completo","⚠ Faltan datos"))</f>
        <v/>
      </c>
      <c r="Q15" s="16" t="n"/>
    </row>
    <row r="16" ht="21" customHeight="1">
      <c r="A16" s="21" t="n">
        <v>10</v>
      </c>
      <c r="B16" s="22" t="n"/>
      <c r="C16" s="22" t="n"/>
      <c r="D16" s="22" t="n"/>
      <c r="E16" s="22" t="n"/>
      <c r="F16" s="23" t="n"/>
      <c r="G16" s="22" t="n"/>
      <c r="H16" s="24" t="n"/>
      <c r="I16" s="25" t="n"/>
      <c r="J16" s="25" t="n"/>
      <c r="K16" s="26" t="n"/>
      <c r="L16" s="22" t="n"/>
      <c r="M16" s="22" t="n"/>
      <c r="N16" s="24" t="n"/>
      <c r="O16" s="19">
        <f>IFERROR(IF(N16="","",IF(MAX(IFERROR(INDEX(Tarifas!$B$3:$F$65,MATCH(K16,Tarifas!$A$3:$A$65,0),MATCH(N16,Tarifas!$B$2:$F$2,0)),0),IFERROR(INDEX(Tarifas!$B$3:$F$65,MATCH(L16,Tarifas!$A$3:$A$65,0),MATCH(N16,Tarifas!$B$2:$F$2,0)),0),IFERROR(INDEX(Tarifas!$B$3:$F$65,MATCH(M16,Tarifas!$A$3:$A$65,0),MATCH(N16,Tarifas!$B$2:$F$2,0)),0))=0,"",MAX(IFERROR(INDEX(Tarifas!$B$3:$F$65,MATCH(K16,Tarifas!$A$3:$A$65,0),MATCH(N16,Tarifas!$B$2:$F$2,0)),0),IFERROR(INDEX(Tarifas!$B$3:$F$65,MATCH(L16,Tarifas!$A$3:$A$65,0),MATCH(N16,Tarifas!$B$2:$F$2,0)),0),IFERROR(INDEX(Tarifas!$B$3:$F$65,MATCH(M16,Tarifas!$A$3:$A$65,0),MATCH(N16,Tarifas!$B$2:$F$2,0)),0)))),"")</f>
        <v/>
      </c>
      <c r="P16" s="27">
        <f>IF(NOT(OR(B16&lt;&gt;"",C16&lt;&gt;"",D16&lt;&gt;"",E16&lt;&gt;"",F16&lt;&gt;"",G16&lt;&gt;"",H16&lt;&gt;"",I16&lt;&gt;"",J16&lt;&gt;"",K16&lt;&gt;"",N16&lt;&gt;"")),"",IF(AND(B16&lt;&gt;"",C16&lt;&gt;"",D16&lt;&gt;"",E16&lt;&gt;"",F16&lt;&gt;"",G16&lt;&gt;"",H16&lt;&gt;"",I16&lt;&gt;"",J16&lt;&gt;"",K16&lt;&gt;"",N16&lt;&gt;""),"✓ Completo","⚠ Faltan datos"))</f>
        <v/>
      </c>
      <c r="Q16" s="24" t="n"/>
    </row>
    <row r="17" ht="21" customHeight="1">
      <c r="A17" s="13" t="n">
        <v>11</v>
      </c>
      <c r="B17" s="14" t="n"/>
      <c r="C17" s="14" t="n"/>
      <c r="D17" s="14" t="n"/>
      <c r="E17" s="14" t="n"/>
      <c r="F17" s="15" t="n"/>
      <c r="G17" s="14" t="n"/>
      <c r="H17" s="16" t="n"/>
      <c r="I17" s="17" t="n"/>
      <c r="J17" s="17" t="n"/>
      <c r="K17" s="18" t="n"/>
      <c r="L17" s="14" t="n"/>
      <c r="M17" s="14" t="n"/>
      <c r="N17" s="16" t="n"/>
      <c r="O17" s="19">
        <f>IFERROR(IF(N17="","",IF(MAX(IFERROR(INDEX(Tarifas!$B$3:$F$65,MATCH(K17,Tarifas!$A$3:$A$65,0),MATCH(N17,Tarifas!$B$2:$F$2,0)),0),IFERROR(INDEX(Tarifas!$B$3:$F$65,MATCH(L17,Tarifas!$A$3:$A$65,0),MATCH(N17,Tarifas!$B$2:$F$2,0)),0),IFERROR(INDEX(Tarifas!$B$3:$F$65,MATCH(M17,Tarifas!$A$3:$A$65,0),MATCH(N17,Tarifas!$B$2:$F$2,0)),0))=0,"",MAX(IFERROR(INDEX(Tarifas!$B$3:$F$65,MATCH(K17,Tarifas!$A$3:$A$65,0),MATCH(N17,Tarifas!$B$2:$F$2,0)),0),IFERROR(INDEX(Tarifas!$B$3:$F$65,MATCH(L17,Tarifas!$A$3:$A$65,0),MATCH(N17,Tarifas!$B$2:$F$2,0)),0),IFERROR(INDEX(Tarifas!$B$3:$F$65,MATCH(M17,Tarifas!$A$3:$A$65,0),MATCH(N17,Tarifas!$B$2:$F$2,0)),0)))),"")</f>
        <v/>
      </c>
      <c r="P17" s="20">
        <f>IF(NOT(OR(B17&lt;&gt;"",C17&lt;&gt;"",D17&lt;&gt;"",E17&lt;&gt;"",F17&lt;&gt;"",G17&lt;&gt;"",H17&lt;&gt;"",I17&lt;&gt;"",J17&lt;&gt;"",K17&lt;&gt;"",N17&lt;&gt;"")),"",IF(AND(B17&lt;&gt;"",C17&lt;&gt;"",D17&lt;&gt;"",E17&lt;&gt;"",F17&lt;&gt;"",G17&lt;&gt;"",H17&lt;&gt;"",I17&lt;&gt;"",J17&lt;&gt;"",K17&lt;&gt;"",N17&lt;&gt;""),"✓ Completo","⚠ Faltan datos"))</f>
        <v/>
      </c>
      <c r="Q17" s="16" t="n"/>
    </row>
    <row r="18" ht="21" customHeight="1">
      <c r="A18" s="21" t="n">
        <v>12</v>
      </c>
      <c r="B18" s="22" t="n"/>
      <c r="C18" s="22" t="n"/>
      <c r="D18" s="22" t="n"/>
      <c r="E18" s="22" t="n"/>
      <c r="F18" s="23" t="n"/>
      <c r="G18" s="22" t="n"/>
      <c r="H18" s="24" t="n"/>
      <c r="I18" s="25" t="n"/>
      <c r="J18" s="25" t="n"/>
      <c r="K18" s="26" t="n"/>
      <c r="L18" s="22" t="n"/>
      <c r="M18" s="22" t="n"/>
      <c r="N18" s="24" t="n"/>
      <c r="O18" s="19">
        <f>IFERROR(IF(N18="","",IF(MAX(IFERROR(INDEX(Tarifas!$B$3:$F$65,MATCH(K18,Tarifas!$A$3:$A$65,0),MATCH(N18,Tarifas!$B$2:$F$2,0)),0),IFERROR(INDEX(Tarifas!$B$3:$F$65,MATCH(L18,Tarifas!$A$3:$A$65,0),MATCH(N18,Tarifas!$B$2:$F$2,0)),0),IFERROR(INDEX(Tarifas!$B$3:$F$65,MATCH(M18,Tarifas!$A$3:$A$65,0),MATCH(N18,Tarifas!$B$2:$F$2,0)),0))=0,"",MAX(IFERROR(INDEX(Tarifas!$B$3:$F$65,MATCH(K18,Tarifas!$A$3:$A$65,0),MATCH(N18,Tarifas!$B$2:$F$2,0)),0),IFERROR(INDEX(Tarifas!$B$3:$F$65,MATCH(L18,Tarifas!$A$3:$A$65,0),MATCH(N18,Tarifas!$B$2:$F$2,0)),0),IFERROR(INDEX(Tarifas!$B$3:$F$65,MATCH(M18,Tarifas!$A$3:$A$65,0),MATCH(N18,Tarifas!$B$2:$F$2,0)),0)))),"")</f>
        <v/>
      </c>
      <c r="P18" s="27">
        <f>IF(NOT(OR(B18&lt;&gt;"",C18&lt;&gt;"",D18&lt;&gt;"",E18&lt;&gt;"",F18&lt;&gt;"",G18&lt;&gt;"",H18&lt;&gt;"",I18&lt;&gt;"",J18&lt;&gt;"",K18&lt;&gt;"",N18&lt;&gt;"")),"",IF(AND(B18&lt;&gt;"",C18&lt;&gt;"",D18&lt;&gt;"",E18&lt;&gt;"",F18&lt;&gt;"",G18&lt;&gt;"",H18&lt;&gt;"",I18&lt;&gt;"",J18&lt;&gt;"",K18&lt;&gt;"",N18&lt;&gt;""),"✓ Completo","⚠ Faltan datos"))</f>
        <v/>
      </c>
      <c r="Q18" s="24" t="n"/>
    </row>
    <row r="19" ht="21" customHeight="1">
      <c r="A19" s="13" t="n">
        <v>13</v>
      </c>
      <c r="B19" s="14" t="n"/>
      <c r="C19" s="14" t="n"/>
      <c r="D19" s="14" t="n"/>
      <c r="E19" s="14" t="n"/>
      <c r="F19" s="15" t="n"/>
      <c r="G19" s="14" t="n"/>
      <c r="H19" s="16" t="n"/>
      <c r="I19" s="17" t="n"/>
      <c r="J19" s="17" t="n"/>
      <c r="K19" s="18" t="n"/>
      <c r="L19" s="14" t="n"/>
      <c r="M19" s="14" t="n"/>
      <c r="N19" s="16" t="n"/>
      <c r="O19" s="19">
        <f>IFERROR(IF(N19="","",IF(MAX(IFERROR(INDEX(Tarifas!$B$3:$F$65,MATCH(K19,Tarifas!$A$3:$A$65,0),MATCH(N19,Tarifas!$B$2:$F$2,0)),0),IFERROR(INDEX(Tarifas!$B$3:$F$65,MATCH(L19,Tarifas!$A$3:$A$65,0),MATCH(N19,Tarifas!$B$2:$F$2,0)),0),IFERROR(INDEX(Tarifas!$B$3:$F$65,MATCH(M19,Tarifas!$A$3:$A$65,0),MATCH(N19,Tarifas!$B$2:$F$2,0)),0))=0,"",MAX(IFERROR(INDEX(Tarifas!$B$3:$F$65,MATCH(K19,Tarifas!$A$3:$A$65,0),MATCH(N19,Tarifas!$B$2:$F$2,0)),0),IFERROR(INDEX(Tarifas!$B$3:$F$65,MATCH(L19,Tarifas!$A$3:$A$65,0),MATCH(N19,Tarifas!$B$2:$F$2,0)),0),IFERROR(INDEX(Tarifas!$B$3:$F$65,MATCH(M19,Tarifas!$A$3:$A$65,0),MATCH(N19,Tarifas!$B$2:$F$2,0)),0)))),"")</f>
        <v/>
      </c>
      <c r="P19" s="20">
        <f>IF(NOT(OR(B19&lt;&gt;"",C19&lt;&gt;"",D19&lt;&gt;"",E19&lt;&gt;"",F19&lt;&gt;"",G19&lt;&gt;"",H19&lt;&gt;"",I19&lt;&gt;"",J19&lt;&gt;"",K19&lt;&gt;"",N19&lt;&gt;"")),"",IF(AND(B19&lt;&gt;"",C19&lt;&gt;"",D19&lt;&gt;"",E19&lt;&gt;"",F19&lt;&gt;"",G19&lt;&gt;"",H19&lt;&gt;"",I19&lt;&gt;"",J19&lt;&gt;"",K19&lt;&gt;"",N19&lt;&gt;""),"✓ Completo","⚠ Faltan datos"))</f>
        <v/>
      </c>
      <c r="Q19" s="16" t="n"/>
    </row>
    <row r="20" ht="21" customHeight="1">
      <c r="A20" s="21" t="n">
        <v>14</v>
      </c>
      <c r="B20" s="22" t="n"/>
      <c r="C20" s="22" t="n"/>
      <c r="D20" s="22" t="n"/>
      <c r="E20" s="22" t="n"/>
      <c r="F20" s="23" t="n"/>
      <c r="G20" s="22" t="n"/>
      <c r="H20" s="24" t="n"/>
      <c r="I20" s="25" t="n"/>
      <c r="J20" s="25" t="n"/>
      <c r="K20" s="26" t="n"/>
      <c r="L20" s="22" t="n"/>
      <c r="M20" s="22" t="n"/>
      <c r="N20" s="24" t="n"/>
      <c r="O20" s="19">
        <f>IFERROR(IF(N20="","",IF(MAX(IFERROR(INDEX(Tarifas!$B$3:$F$65,MATCH(K20,Tarifas!$A$3:$A$65,0),MATCH(N20,Tarifas!$B$2:$F$2,0)),0),IFERROR(INDEX(Tarifas!$B$3:$F$65,MATCH(L20,Tarifas!$A$3:$A$65,0),MATCH(N20,Tarifas!$B$2:$F$2,0)),0),IFERROR(INDEX(Tarifas!$B$3:$F$65,MATCH(M20,Tarifas!$A$3:$A$65,0),MATCH(N20,Tarifas!$B$2:$F$2,0)),0))=0,"",MAX(IFERROR(INDEX(Tarifas!$B$3:$F$65,MATCH(K20,Tarifas!$A$3:$A$65,0),MATCH(N20,Tarifas!$B$2:$F$2,0)),0),IFERROR(INDEX(Tarifas!$B$3:$F$65,MATCH(L20,Tarifas!$A$3:$A$65,0),MATCH(N20,Tarifas!$B$2:$F$2,0)),0),IFERROR(INDEX(Tarifas!$B$3:$F$65,MATCH(M20,Tarifas!$A$3:$A$65,0),MATCH(N20,Tarifas!$B$2:$F$2,0)),0)))),"")</f>
        <v/>
      </c>
      <c r="P20" s="27">
        <f>IF(NOT(OR(B20&lt;&gt;"",C20&lt;&gt;"",D20&lt;&gt;"",E20&lt;&gt;"",F20&lt;&gt;"",G20&lt;&gt;"",H20&lt;&gt;"",I20&lt;&gt;"",J20&lt;&gt;"",K20&lt;&gt;"",N20&lt;&gt;"")),"",IF(AND(B20&lt;&gt;"",C20&lt;&gt;"",D20&lt;&gt;"",E20&lt;&gt;"",F20&lt;&gt;"",G20&lt;&gt;"",H20&lt;&gt;"",I20&lt;&gt;"",J20&lt;&gt;"",K20&lt;&gt;"",N20&lt;&gt;""),"✓ Completo","⚠ Faltan datos"))</f>
        <v/>
      </c>
      <c r="Q20" s="24" t="n"/>
    </row>
    <row r="21" ht="21" customHeight="1">
      <c r="A21" s="13" t="n">
        <v>15</v>
      </c>
      <c r="B21" s="14" t="n"/>
      <c r="C21" s="14" t="n"/>
      <c r="D21" s="14" t="n"/>
      <c r="E21" s="14" t="n"/>
      <c r="F21" s="15" t="n"/>
      <c r="G21" s="14" t="n"/>
      <c r="H21" s="16" t="n"/>
      <c r="I21" s="17" t="n"/>
      <c r="J21" s="17" t="n"/>
      <c r="K21" s="18" t="n"/>
      <c r="L21" s="14" t="n"/>
      <c r="M21" s="14" t="n"/>
      <c r="N21" s="16" t="n"/>
      <c r="O21" s="19">
        <f>IFERROR(IF(N21="","",IF(MAX(IFERROR(INDEX(Tarifas!$B$3:$F$65,MATCH(K21,Tarifas!$A$3:$A$65,0),MATCH(N21,Tarifas!$B$2:$F$2,0)),0),IFERROR(INDEX(Tarifas!$B$3:$F$65,MATCH(L21,Tarifas!$A$3:$A$65,0),MATCH(N21,Tarifas!$B$2:$F$2,0)),0),IFERROR(INDEX(Tarifas!$B$3:$F$65,MATCH(M21,Tarifas!$A$3:$A$65,0),MATCH(N21,Tarifas!$B$2:$F$2,0)),0))=0,"",MAX(IFERROR(INDEX(Tarifas!$B$3:$F$65,MATCH(K21,Tarifas!$A$3:$A$65,0),MATCH(N21,Tarifas!$B$2:$F$2,0)),0),IFERROR(INDEX(Tarifas!$B$3:$F$65,MATCH(L21,Tarifas!$A$3:$A$65,0),MATCH(N21,Tarifas!$B$2:$F$2,0)),0),IFERROR(INDEX(Tarifas!$B$3:$F$65,MATCH(M21,Tarifas!$A$3:$A$65,0),MATCH(N21,Tarifas!$B$2:$F$2,0)),0)))),"")</f>
        <v/>
      </c>
      <c r="P21" s="20">
        <f>IF(NOT(OR(B21&lt;&gt;"",C21&lt;&gt;"",D21&lt;&gt;"",E21&lt;&gt;"",F21&lt;&gt;"",G21&lt;&gt;"",H21&lt;&gt;"",I21&lt;&gt;"",J21&lt;&gt;"",K21&lt;&gt;"",N21&lt;&gt;"")),"",IF(AND(B21&lt;&gt;"",C21&lt;&gt;"",D21&lt;&gt;"",E21&lt;&gt;"",F21&lt;&gt;"",G21&lt;&gt;"",H21&lt;&gt;"",I21&lt;&gt;"",J21&lt;&gt;"",K21&lt;&gt;"",N21&lt;&gt;""),"✓ Completo","⚠ Faltan datos"))</f>
        <v/>
      </c>
      <c r="Q21" s="16" t="n"/>
    </row>
    <row r="22" ht="21" customHeight="1">
      <c r="A22" s="21" t="n">
        <v>16</v>
      </c>
      <c r="B22" s="22" t="n"/>
      <c r="C22" s="22" t="n"/>
      <c r="D22" s="22" t="n"/>
      <c r="E22" s="22" t="n"/>
      <c r="F22" s="23" t="n"/>
      <c r="G22" s="22" t="n"/>
      <c r="H22" s="24" t="n"/>
      <c r="I22" s="25" t="n"/>
      <c r="J22" s="25" t="n"/>
      <c r="K22" s="26" t="n"/>
      <c r="L22" s="22" t="n"/>
      <c r="M22" s="22" t="n"/>
      <c r="N22" s="24" t="n"/>
      <c r="O22" s="19">
        <f>IFERROR(IF(N22="","",IF(MAX(IFERROR(INDEX(Tarifas!$B$3:$F$65,MATCH(K22,Tarifas!$A$3:$A$65,0),MATCH(N22,Tarifas!$B$2:$F$2,0)),0),IFERROR(INDEX(Tarifas!$B$3:$F$65,MATCH(L22,Tarifas!$A$3:$A$65,0),MATCH(N22,Tarifas!$B$2:$F$2,0)),0),IFERROR(INDEX(Tarifas!$B$3:$F$65,MATCH(M22,Tarifas!$A$3:$A$65,0),MATCH(N22,Tarifas!$B$2:$F$2,0)),0))=0,"",MAX(IFERROR(INDEX(Tarifas!$B$3:$F$65,MATCH(K22,Tarifas!$A$3:$A$65,0),MATCH(N22,Tarifas!$B$2:$F$2,0)),0),IFERROR(INDEX(Tarifas!$B$3:$F$65,MATCH(L22,Tarifas!$A$3:$A$65,0),MATCH(N22,Tarifas!$B$2:$F$2,0)),0),IFERROR(INDEX(Tarifas!$B$3:$F$65,MATCH(M22,Tarifas!$A$3:$A$65,0),MATCH(N22,Tarifas!$B$2:$F$2,0)),0)))),"")</f>
        <v/>
      </c>
      <c r="P22" s="27">
        <f>IF(NOT(OR(B22&lt;&gt;"",C22&lt;&gt;"",D22&lt;&gt;"",E22&lt;&gt;"",F22&lt;&gt;"",G22&lt;&gt;"",H22&lt;&gt;"",I22&lt;&gt;"",J22&lt;&gt;"",K22&lt;&gt;"",N22&lt;&gt;"")),"",IF(AND(B22&lt;&gt;"",C22&lt;&gt;"",D22&lt;&gt;"",E22&lt;&gt;"",F22&lt;&gt;"",G22&lt;&gt;"",H22&lt;&gt;"",I22&lt;&gt;"",J22&lt;&gt;"",K22&lt;&gt;"",N22&lt;&gt;""),"✓ Completo","⚠ Faltan datos"))</f>
        <v/>
      </c>
      <c r="Q22" s="24" t="n"/>
    </row>
    <row r="23" ht="21" customHeight="1">
      <c r="A23" s="13" t="n">
        <v>17</v>
      </c>
      <c r="B23" s="14" t="n"/>
      <c r="C23" s="14" t="n"/>
      <c r="D23" s="14" t="n"/>
      <c r="E23" s="14" t="n"/>
      <c r="F23" s="15" t="n"/>
      <c r="G23" s="14" t="n"/>
      <c r="H23" s="16" t="n"/>
      <c r="I23" s="17" t="n"/>
      <c r="J23" s="17" t="n"/>
      <c r="K23" s="18" t="n"/>
      <c r="L23" s="14" t="n"/>
      <c r="M23" s="14" t="n"/>
      <c r="N23" s="16" t="n"/>
      <c r="O23" s="19">
        <f>IFERROR(IF(N23="","",IF(MAX(IFERROR(INDEX(Tarifas!$B$3:$F$65,MATCH(K23,Tarifas!$A$3:$A$65,0),MATCH(N23,Tarifas!$B$2:$F$2,0)),0),IFERROR(INDEX(Tarifas!$B$3:$F$65,MATCH(L23,Tarifas!$A$3:$A$65,0),MATCH(N23,Tarifas!$B$2:$F$2,0)),0),IFERROR(INDEX(Tarifas!$B$3:$F$65,MATCH(M23,Tarifas!$A$3:$A$65,0),MATCH(N23,Tarifas!$B$2:$F$2,0)),0))=0,"",MAX(IFERROR(INDEX(Tarifas!$B$3:$F$65,MATCH(K23,Tarifas!$A$3:$A$65,0),MATCH(N23,Tarifas!$B$2:$F$2,0)),0),IFERROR(INDEX(Tarifas!$B$3:$F$65,MATCH(L23,Tarifas!$A$3:$A$65,0),MATCH(N23,Tarifas!$B$2:$F$2,0)),0),IFERROR(INDEX(Tarifas!$B$3:$F$65,MATCH(M23,Tarifas!$A$3:$A$65,0),MATCH(N23,Tarifas!$B$2:$F$2,0)),0)))),"")</f>
        <v/>
      </c>
      <c r="P23" s="20">
        <f>IF(NOT(OR(B23&lt;&gt;"",C23&lt;&gt;"",D23&lt;&gt;"",E23&lt;&gt;"",F23&lt;&gt;"",G23&lt;&gt;"",H23&lt;&gt;"",I23&lt;&gt;"",J23&lt;&gt;"",K23&lt;&gt;"",N23&lt;&gt;"")),"",IF(AND(B23&lt;&gt;"",C23&lt;&gt;"",D23&lt;&gt;"",E23&lt;&gt;"",F23&lt;&gt;"",G23&lt;&gt;"",H23&lt;&gt;"",I23&lt;&gt;"",J23&lt;&gt;"",K23&lt;&gt;"",N23&lt;&gt;""),"✓ Completo","⚠ Faltan datos"))</f>
        <v/>
      </c>
      <c r="Q23" s="16" t="n"/>
    </row>
    <row r="24" ht="21" customHeight="1">
      <c r="A24" s="21" t="n">
        <v>18</v>
      </c>
      <c r="B24" s="22" t="n"/>
      <c r="C24" s="22" t="n"/>
      <c r="D24" s="22" t="n"/>
      <c r="E24" s="22" t="n"/>
      <c r="F24" s="23" t="n"/>
      <c r="G24" s="22" t="n"/>
      <c r="H24" s="24" t="n"/>
      <c r="I24" s="25" t="n"/>
      <c r="J24" s="25" t="n"/>
      <c r="K24" s="26" t="n"/>
      <c r="L24" s="22" t="n"/>
      <c r="M24" s="22" t="n"/>
      <c r="N24" s="24" t="n"/>
      <c r="O24" s="19">
        <f>IFERROR(IF(N24="","",IF(MAX(IFERROR(INDEX(Tarifas!$B$3:$F$65,MATCH(K24,Tarifas!$A$3:$A$65,0),MATCH(N24,Tarifas!$B$2:$F$2,0)),0),IFERROR(INDEX(Tarifas!$B$3:$F$65,MATCH(L24,Tarifas!$A$3:$A$65,0),MATCH(N24,Tarifas!$B$2:$F$2,0)),0),IFERROR(INDEX(Tarifas!$B$3:$F$65,MATCH(M24,Tarifas!$A$3:$A$65,0),MATCH(N24,Tarifas!$B$2:$F$2,0)),0))=0,"",MAX(IFERROR(INDEX(Tarifas!$B$3:$F$65,MATCH(K24,Tarifas!$A$3:$A$65,0),MATCH(N24,Tarifas!$B$2:$F$2,0)),0),IFERROR(INDEX(Tarifas!$B$3:$F$65,MATCH(L24,Tarifas!$A$3:$A$65,0),MATCH(N24,Tarifas!$B$2:$F$2,0)),0),IFERROR(INDEX(Tarifas!$B$3:$F$65,MATCH(M24,Tarifas!$A$3:$A$65,0),MATCH(N24,Tarifas!$B$2:$F$2,0)),0)))),"")</f>
        <v/>
      </c>
      <c r="P24" s="27">
        <f>IF(NOT(OR(B24&lt;&gt;"",C24&lt;&gt;"",D24&lt;&gt;"",E24&lt;&gt;"",F24&lt;&gt;"",G24&lt;&gt;"",H24&lt;&gt;"",I24&lt;&gt;"",J24&lt;&gt;"",K24&lt;&gt;"",N24&lt;&gt;"")),"",IF(AND(B24&lt;&gt;"",C24&lt;&gt;"",D24&lt;&gt;"",E24&lt;&gt;"",F24&lt;&gt;"",G24&lt;&gt;"",H24&lt;&gt;"",I24&lt;&gt;"",J24&lt;&gt;"",K24&lt;&gt;"",N24&lt;&gt;""),"✓ Completo","⚠ Faltan datos"))</f>
        <v/>
      </c>
      <c r="Q24" s="24" t="n"/>
    </row>
    <row r="25" ht="21" customHeight="1">
      <c r="A25" s="13" t="n">
        <v>19</v>
      </c>
      <c r="B25" s="14" t="n"/>
      <c r="C25" s="14" t="n"/>
      <c r="D25" s="14" t="n"/>
      <c r="E25" s="14" t="n"/>
      <c r="F25" s="15" t="n"/>
      <c r="G25" s="14" t="n"/>
      <c r="H25" s="16" t="n"/>
      <c r="I25" s="17" t="n"/>
      <c r="J25" s="17" t="n"/>
      <c r="K25" s="18" t="n"/>
      <c r="L25" s="14" t="n"/>
      <c r="M25" s="14" t="n"/>
      <c r="N25" s="16" t="n"/>
      <c r="O25" s="19">
        <f>IFERROR(IF(N25="","",IF(MAX(IFERROR(INDEX(Tarifas!$B$3:$F$65,MATCH(K25,Tarifas!$A$3:$A$65,0),MATCH(N25,Tarifas!$B$2:$F$2,0)),0),IFERROR(INDEX(Tarifas!$B$3:$F$65,MATCH(L25,Tarifas!$A$3:$A$65,0),MATCH(N25,Tarifas!$B$2:$F$2,0)),0),IFERROR(INDEX(Tarifas!$B$3:$F$65,MATCH(M25,Tarifas!$A$3:$A$65,0),MATCH(N25,Tarifas!$B$2:$F$2,0)),0))=0,"",MAX(IFERROR(INDEX(Tarifas!$B$3:$F$65,MATCH(K25,Tarifas!$A$3:$A$65,0),MATCH(N25,Tarifas!$B$2:$F$2,0)),0),IFERROR(INDEX(Tarifas!$B$3:$F$65,MATCH(L25,Tarifas!$A$3:$A$65,0),MATCH(N25,Tarifas!$B$2:$F$2,0)),0),IFERROR(INDEX(Tarifas!$B$3:$F$65,MATCH(M25,Tarifas!$A$3:$A$65,0),MATCH(N25,Tarifas!$B$2:$F$2,0)),0)))),"")</f>
        <v/>
      </c>
      <c r="P25" s="20">
        <f>IF(NOT(OR(B25&lt;&gt;"",C25&lt;&gt;"",D25&lt;&gt;"",E25&lt;&gt;"",F25&lt;&gt;"",G25&lt;&gt;"",H25&lt;&gt;"",I25&lt;&gt;"",J25&lt;&gt;"",K25&lt;&gt;"",N25&lt;&gt;"")),"",IF(AND(B25&lt;&gt;"",C25&lt;&gt;"",D25&lt;&gt;"",E25&lt;&gt;"",F25&lt;&gt;"",G25&lt;&gt;"",H25&lt;&gt;"",I25&lt;&gt;"",J25&lt;&gt;"",K25&lt;&gt;"",N25&lt;&gt;""),"✓ Completo","⚠ Faltan datos"))</f>
        <v/>
      </c>
      <c r="Q25" s="16" t="n"/>
    </row>
    <row r="26" ht="21" customHeight="1">
      <c r="A26" s="21" t="n">
        <v>20</v>
      </c>
      <c r="B26" s="22" t="n"/>
      <c r="C26" s="22" t="n"/>
      <c r="D26" s="22" t="n"/>
      <c r="E26" s="22" t="n"/>
      <c r="F26" s="23" t="n"/>
      <c r="G26" s="22" t="n"/>
      <c r="H26" s="24" t="n"/>
      <c r="I26" s="25" t="n"/>
      <c r="J26" s="25" t="n"/>
      <c r="K26" s="26" t="n"/>
      <c r="L26" s="22" t="n"/>
      <c r="M26" s="22" t="n"/>
      <c r="N26" s="24" t="n"/>
      <c r="O26" s="19">
        <f>IFERROR(IF(N26="","",IF(MAX(IFERROR(INDEX(Tarifas!$B$3:$F$65,MATCH(K26,Tarifas!$A$3:$A$65,0),MATCH(N26,Tarifas!$B$2:$F$2,0)),0),IFERROR(INDEX(Tarifas!$B$3:$F$65,MATCH(L26,Tarifas!$A$3:$A$65,0),MATCH(N26,Tarifas!$B$2:$F$2,0)),0),IFERROR(INDEX(Tarifas!$B$3:$F$65,MATCH(M26,Tarifas!$A$3:$A$65,0),MATCH(N26,Tarifas!$B$2:$F$2,0)),0))=0,"",MAX(IFERROR(INDEX(Tarifas!$B$3:$F$65,MATCH(K26,Tarifas!$A$3:$A$65,0),MATCH(N26,Tarifas!$B$2:$F$2,0)),0),IFERROR(INDEX(Tarifas!$B$3:$F$65,MATCH(L26,Tarifas!$A$3:$A$65,0),MATCH(N26,Tarifas!$B$2:$F$2,0)),0),IFERROR(INDEX(Tarifas!$B$3:$F$65,MATCH(M26,Tarifas!$A$3:$A$65,0),MATCH(N26,Tarifas!$B$2:$F$2,0)),0)))),"")</f>
        <v/>
      </c>
      <c r="P26" s="27">
        <f>IF(NOT(OR(B26&lt;&gt;"",C26&lt;&gt;"",D26&lt;&gt;"",E26&lt;&gt;"",F26&lt;&gt;"",G26&lt;&gt;"",H26&lt;&gt;"",I26&lt;&gt;"",J26&lt;&gt;"",K26&lt;&gt;"",N26&lt;&gt;"")),"",IF(AND(B26&lt;&gt;"",C26&lt;&gt;"",D26&lt;&gt;"",E26&lt;&gt;"",F26&lt;&gt;"",G26&lt;&gt;"",H26&lt;&gt;"",I26&lt;&gt;"",J26&lt;&gt;"",K26&lt;&gt;"",N26&lt;&gt;""),"✓ Completo","⚠ Faltan datos"))</f>
        <v/>
      </c>
      <c r="Q26" s="24" t="n"/>
    </row>
    <row r="27" ht="21" customHeight="1">
      <c r="A27" s="13" t="n">
        <v>21</v>
      </c>
      <c r="B27" s="14" t="n"/>
      <c r="C27" s="14" t="n"/>
      <c r="D27" s="14" t="n"/>
      <c r="E27" s="14" t="n"/>
      <c r="F27" s="15" t="n"/>
      <c r="G27" s="14" t="n"/>
      <c r="H27" s="16" t="n"/>
      <c r="I27" s="17" t="n"/>
      <c r="J27" s="17" t="n"/>
      <c r="K27" s="18" t="n"/>
      <c r="L27" s="14" t="n"/>
      <c r="M27" s="14" t="n"/>
      <c r="N27" s="16" t="n"/>
      <c r="O27" s="19">
        <f>IFERROR(IF(N27="","",IF(MAX(IFERROR(INDEX(Tarifas!$B$3:$F$65,MATCH(K27,Tarifas!$A$3:$A$65,0),MATCH(N27,Tarifas!$B$2:$F$2,0)),0),IFERROR(INDEX(Tarifas!$B$3:$F$65,MATCH(L27,Tarifas!$A$3:$A$65,0),MATCH(N27,Tarifas!$B$2:$F$2,0)),0),IFERROR(INDEX(Tarifas!$B$3:$F$65,MATCH(M27,Tarifas!$A$3:$A$65,0),MATCH(N27,Tarifas!$B$2:$F$2,0)),0))=0,"",MAX(IFERROR(INDEX(Tarifas!$B$3:$F$65,MATCH(K27,Tarifas!$A$3:$A$65,0),MATCH(N27,Tarifas!$B$2:$F$2,0)),0),IFERROR(INDEX(Tarifas!$B$3:$F$65,MATCH(L27,Tarifas!$A$3:$A$65,0),MATCH(N27,Tarifas!$B$2:$F$2,0)),0),IFERROR(INDEX(Tarifas!$B$3:$F$65,MATCH(M27,Tarifas!$A$3:$A$65,0),MATCH(N27,Tarifas!$B$2:$F$2,0)),0)))),"")</f>
        <v/>
      </c>
      <c r="P27" s="20">
        <f>IF(NOT(OR(B27&lt;&gt;"",C27&lt;&gt;"",D27&lt;&gt;"",E27&lt;&gt;"",F27&lt;&gt;"",G27&lt;&gt;"",H27&lt;&gt;"",I27&lt;&gt;"",J27&lt;&gt;"",K27&lt;&gt;"",N27&lt;&gt;"")),"",IF(AND(B27&lt;&gt;"",C27&lt;&gt;"",D27&lt;&gt;"",E27&lt;&gt;"",F27&lt;&gt;"",G27&lt;&gt;"",H27&lt;&gt;"",I27&lt;&gt;"",J27&lt;&gt;"",K27&lt;&gt;"",N27&lt;&gt;""),"✓ Completo","⚠ Faltan datos"))</f>
        <v/>
      </c>
      <c r="Q27" s="16" t="n"/>
    </row>
    <row r="28" ht="21" customHeight="1">
      <c r="A28" s="21" t="n">
        <v>22</v>
      </c>
      <c r="B28" s="22" t="n"/>
      <c r="C28" s="22" t="n"/>
      <c r="D28" s="22" t="n"/>
      <c r="E28" s="22" t="n"/>
      <c r="F28" s="23" t="n"/>
      <c r="G28" s="22" t="n"/>
      <c r="H28" s="24" t="n"/>
      <c r="I28" s="25" t="n"/>
      <c r="J28" s="25" t="n"/>
      <c r="K28" s="26" t="n"/>
      <c r="L28" s="22" t="n"/>
      <c r="M28" s="22" t="n"/>
      <c r="N28" s="24" t="n"/>
      <c r="O28" s="19">
        <f>IFERROR(IF(N28="","",IF(MAX(IFERROR(INDEX(Tarifas!$B$3:$F$65,MATCH(K28,Tarifas!$A$3:$A$65,0),MATCH(N28,Tarifas!$B$2:$F$2,0)),0),IFERROR(INDEX(Tarifas!$B$3:$F$65,MATCH(L28,Tarifas!$A$3:$A$65,0),MATCH(N28,Tarifas!$B$2:$F$2,0)),0),IFERROR(INDEX(Tarifas!$B$3:$F$65,MATCH(M28,Tarifas!$A$3:$A$65,0),MATCH(N28,Tarifas!$B$2:$F$2,0)),0))=0,"",MAX(IFERROR(INDEX(Tarifas!$B$3:$F$65,MATCH(K28,Tarifas!$A$3:$A$65,0),MATCH(N28,Tarifas!$B$2:$F$2,0)),0),IFERROR(INDEX(Tarifas!$B$3:$F$65,MATCH(L28,Tarifas!$A$3:$A$65,0),MATCH(N28,Tarifas!$B$2:$F$2,0)),0),IFERROR(INDEX(Tarifas!$B$3:$F$65,MATCH(M28,Tarifas!$A$3:$A$65,0),MATCH(N28,Tarifas!$B$2:$F$2,0)),0)))),"")</f>
        <v/>
      </c>
      <c r="P28" s="27">
        <f>IF(NOT(OR(B28&lt;&gt;"",C28&lt;&gt;"",D28&lt;&gt;"",E28&lt;&gt;"",F28&lt;&gt;"",G28&lt;&gt;"",H28&lt;&gt;"",I28&lt;&gt;"",J28&lt;&gt;"",K28&lt;&gt;"",N28&lt;&gt;"")),"",IF(AND(B28&lt;&gt;"",C28&lt;&gt;"",D28&lt;&gt;"",E28&lt;&gt;"",F28&lt;&gt;"",G28&lt;&gt;"",H28&lt;&gt;"",I28&lt;&gt;"",J28&lt;&gt;"",K28&lt;&gt;"",N28&lt;&gt;""),"✓ Completo","⚠ Faltan datos"))</f>
        <v/>
      </c>
      <c r="Q28" s="24" t="n"/>
    </row>
    <row r="29" ht="21" customHeight="1">
      <c r="A29" s="13" t="n">
        <v>23</v>
      </c>
      <c r="B29" s="14" t="n"/>
      <c r="C29" s="14" t="n"/>
      <c r="D29" s="14" t="n"/>
      <c r="E29" s="14" t="n"/>
      <c r="F29" s="15" t="n"/>
      <c r="G29" s="14" t="n"/>
      <c r="H29" s="16" t="n"/>
      <c r="I29" s="17" t="n"/>
      <c r="J29" s="17" t="n"/>
      <c r="K29" s="18" t="n"/>
      <c r="L29" s="14" t="n"/>
      <c r="M29" s="14" t="n"/>
      <c r="N29" s="16" t="n"/>
      <c r="O29" s="19">
        <f>IFERROR(IF(N29="","",IF(MAX(IFERROR(INDEX(Tarifas!$B$3:$F$65,MATCH(K29,Tarifas!$A$3:$A$65,0),MATCH(N29,Tarifas!$B$2:$F$2,0)),0),IFERROR(INDEX(Tarifas!$B$3:$F$65,MATCH(L29,Tarifas!$A$3:$A$65,0),MATCH(N29,Tarifas!$B$2:$F$2,0)),0),IFERROR(INDEX(Tarifas!$B$3:$F$65,MATCH(M29,Tarifas!$A$3:$A$65,0),MATCH(N29,Tarifas!$B$2:$F$2,0)),0))=0,"",MAX(IFERROR(INDEX(Tarifas!$B$3:$F$65,MATCH(K29,Tarifas!$A$3:$A$65,0),MATCH(N29,Tarifas!$B$2:$F$2,0)),0),IFERROR(INDEX(Tarifas!$B$3:$F$65,MATCH(L29,Tarifas!$A$3:$A$65,0),MATCH(N29,Tarifas!$B$2:$F$2,0)),0),IFERROR(INDEX(Tarifas!$B$3:$F$65,MATCH(M29,Tarifas!$A$3:$A$65,0),MATCH(N29,Tarifas!$B$2:$F$2,0)),0)))),"")</f>
        <v/>
      </c>
      <c r="P29" s="20">
        <f>IF(NOT(OR(B29&lt;&gt;"",C29&lt;&gt;"",D29&lt;&gt;"",E29&lt;&gt;"",F29&lt;&gt;"",G29&lt;&gt;"",H29&lt;&gt;"",I29&lt;&gt;"",J29&lt;&gt;"",K29&lt;&gt;"",N29&lt;&gt;"")),"",IF(AND(B29&lt;&gt;"",C29&lt;&gt;"",D29&lt;&gt;"",E29&lt;&gt;"",F29&lt;&gt;"",G29&lt;&gt;"",H29&lt;&gt;"",I29&lt;&gt;"",J29&lt;&gt;"",K29&lt;&gt;"",N29&lt;&gt;""),"✓ Completo","⚠ Faltan datos"))</f>
        <v/>
      </c>
      <c r="Q29" s="16" t="n"/>
    </row>
    <row r="30" ht="21" customHeight="1">
      <c r="A30" s="21" t="n">
        <v>24</v>
      </c>
      <c r="B30" s="22" t="n"/>
      <c r="C30" s="22" t="n"/>
      <c r="D30" s="22" t="n"/>
      <c r="E30" s="22" t="n"/>
      <c r="F30" s="23" t="n"/>
      <c r="G30" s="22" t="n"/>
      <c r="H30" s="24" t="n"/>
      <c r="I30" s="25" t="n"/>
      <c r="J30" s="25" t="n"/>
      <c r="K30" s="26" t="n"/>
      <c r="L30" s="22" t="n"/>
      <c r="M30" s="22" t="n"/>
      <c r="N30" s="24" t="n"/>
      <c r="O30" s="19">
        <f>IFERROR(IF(N30="","",IF(MAX(IFERROR(INDEX(Tarifas!$B$3:$F$65,MATCH(K30,Tarifas!$A$3:$A$65,0),MATCH(N30,Tarifas!$B$2:$F$2,0)),0),IFERROR(INDEX(Tarifas!$B$3:$F$65,MATCH(L30,Tarifas!$A$3:$A$65,0),MATCH(N30,Tarifas!$B$2:$F$2,0)),0),IFERROR(INDEX(Tarifas!$B$3:$F$65,MATCH(M30,Tarifas!$A$3:$A$65,0),MATCH(N30,Tarifas!$B$2:$F$2,0)),0))=0,"",MAX(IFERROR(INDEX(Tarifas!$B$3:$F$65,MATCH(K30,Tarifas!$A$3:$A$65,0),MATCH(N30,Tarifas!$B$2:$F$2,0)),0),IFERROR(INDEX(Tarifas!$B$3:$F$65,MATCH(L30,Tarifas!$A$3:$A$65,0),MATCH(N30,Tarifas!$B$2:$F$2,0)),0),IFERROR(INDEX(Tarifas!$B$3:$F$65,MATCH(M30,Tarifas!$A$3:$A$65,0),MATCH(N30,Tarifas!$B$2:$F$2,0)),0)))),"")</f>
        <v/>
      </c>
      <c r="P30" s="27">
        <f>IF(NOT(OR(B30&lt;&gt;"",C30&lt;&gt;"",D30&lt;&gt;"",E30&lt;&gt;"",F30&lt;&gt;"",G30&lt;&gt;"",H30&lt;&gt;"",I30&lt;&gt;"",J30&lt;&gt;"",K30&lt;&gt;"",N30&lt;&gt;"")),"",IF(AND(B30&lt;&gt;"",C30&lt;&gt;"",D30&lt;&gt;"",E30&lt;&gt;"",F30&lt;&gt;"",G30&lt;&gt;"",H30&lt;&gt;"",I30&lt;&gt;"",J30&lt;&gt;"",K30&lt;&gt;"",N30&lt;&gt;""),"✓ Completo","⚠ Faltan datos"))</f>
        <v/>
      </c>
      <c r="Q30" s="24" t="n"/>
    </row>
    <row r="31" ht="21" customHeight="1">
      <c r="A31" s="13" t="n">
        <v>25</v>
      </c>
      <c r="B31" s="14" t="n"/>
      <c r="C31" s="14" t="n"/>
      <c r="D31" s="14" t="n"/>
      <c r="E31" s="14" t="n"/>
      <c r="F31" s="15" t="n"/>
      <c r="G31" s="14" t="n"/>
      <c r="H31" s="16" t="n"/>
      <c r="I31" s="17" t="n"/>
      <c r="J31" s="17" t="n"/>
      <c r="K31" s="18" t="n"/>
      <c r="L31" s="14" t="n"/>
      <c r="M31" s="14" t="n"/>
      <c r="N31" s="16" t="n"/>
      <c r="O31" s="19">
        <f>IFERROR(IF(N31="","",IF(MAX(IFERROR(INDEX(Tarifas!$B$3:$F$65,MATCH(K31,Tarifas!$A$3:$A$65,0),MATCH(N31,Tarifas!$B$2:$F$2,0)),0),IFERROR(INDEX(Tarifas!$B$3:$F$65,MATCH(L31,Tarifas!$A$3:$A$65,0),MATCH(N31,Tarifas!$B$2:$F$2,0)),0),IFERROR(INDEX(Tarifas!$B$3:$F$65,MATCH(M31,Tarifas!$A$3:$A$65,0),MATCH(N31,Tarifas!$B$2:$F$2,0)),0))=0,"",MAX(IFERROR(INDEX(Tarifas!$B$3:$F$65,MATCH(K31,Tarifas!$A$3:$A$65,0),MATCH(N31,Tarifas!$B$2:$F$2,0)),0),IFERROR(INDEX(Tarifas!$B$3:$F$65,MATCH(L31,Tarifas!$A$3:$A$65,0),MATCH(N31,Tarifas!$B$2:$F$2,0)),0),IFERROR(INDEX(Tarifas!$B$3:$F$65,MATCH(M31,Tarifas!$A$3:$A$65,0),MATCH(N31,Tarifas!$B$2:$F$2,0)),0)))),"")</f>
        <v/>
      </c>
      <c r="P31" s="20">
        <f>IF(NOT(OR(B31&lt;&gt;"",C31&lt;&gt;"",D31&lt;&gt;"",E31&lt;&gt;"",F31&lt;&gt;"",G31&lt;&gt;"",H31&lt;&gt;"",I31&lt;&gt;"",J31&lt;&gt;"",K31&lt;&gt;"",N31&lt;&gt;"")),"",IF(AND(B31&lt;&gt;"",C31&lt;&gt;"",D31&lt;&gt;"",E31&lt;&gt;"",F31&lt;&gt;"",G31&lt;&gt;"",H31&lt;&gt;"",I31&lt;&gt;"",J31&lt;&gt;"",K31&lt;&gt;"",N31&lt;&gt;""),"✓ Completo","⚠ Faltan datos"))</f>
        <v/>
      </c>
      <c r="Q31" s="16" t="n"/>
    </row>
    <row r="32" ht="21" customHeight="1">
      <c r="A32" s="21" t="n">
        <v>26</v>
      </c>
      <c r="B32" s="22" t="n"/>
      <c r="C32" s="22" t="n"/>
      <c r="D32" s="22" t="n"/>
      <c r="E32" s="22" t="n"/>
      <c r="F32" s="23" t="n"/>
      <c r="G32" s="22" t="n"/>
      <c r="H32" s="24" t="n"/>
      <c r="I32" s="25" t="n"/>
      <c r="J32" s="25" t="n"/>
      <c r="K32" s="26" t="n"/>
      <c r="L32" s="22" t="n"/>
      <c r="M32" s="22" t="n"/>
      <c r="N32" s="24" t="n"/>
      <c r="O32" s="19">
        <f>IFERROR(IF(N32="","",IF(MAX(IFERROR(INDEX(Tarifas!$B$3:$F$65,MATCH(K32,Tarifas!$A$3:$A$65,0),MATCH(N32,Tarifas!$B$2:$F$2,0)),0),IFERROR(INDEX(Tarifas!$B$3:$F$65,MATCH(L32,Tarifas!$A$3:$A$65,0),MATCH(N32,Tarifas!$B$2:$F$2,0)),0),IFERROR(INDEX(Tarifas!$B$3:$F$65,MATCH(M32,Tarifas!$A$3:$A$65,0),MATCH(N32,Tarifas!$B$2:$F$2,0)),0))=0,"",MAX(IFERROR(INDEX(Tarifas!$B$3:$F$65,MATCH(K32,Tarifas!$A$3:$A$65,0),MATCH(N32,Tarifas!$B$2:$F$2,0)),0),IFERROR(INDEX(Tarifas!$B$3:$F$65,MATCH(L32,Tarifas!$A$3:$A$65,0),MATCH(N32,Tarifas!$B$2:$F$2,0)),0),IFERROR(INDEX(Tarifas!$B$3:$F$65,MATCH(M32,Tarifas!$A$3:$A$65,0),MATCH(N32,Tarifas!$B$2:$F$2,0)),0)))),"")</f>
        <v/>
      </c>
      <c r="P32" s="27">
        <f>IF(NOT(OR(B32&lt;&gt;"",C32&lt;&gt;"",D32&lt;&gt;"",E32&lt;&gt;"",F32&lt;&gt;"",G32&lt;&gt;"",H32&lt;&gt;"",I32&lt;&gt;"",J32&lt;&gt;"",K32&lt;&gt;"",N32&lt;&gt;"")),"",IF(AND(B32&lt;&gt;"",C32&lt;&gt;"",D32&lt;&gt;"",E32&lt;&gt;"",F32&lt;&gt;"",G32&lt;&gt;"",H32&lt;&gt;"",I32&lt;&gt;"",J32&lt;&gt;"",K32&lt;&gt;"",N32&lt;&gt;""),"✓ Completo","⚠ Faltan datos"))</f>
        <v/>
      </c>
      <c r="Q32" s="24" t="n"/>
    </row>
    <row r="33" ht="21" customHeight="1">
      <c r="A33" s="13" t="n">
        <v>27</v>
      </c>
      <c r="B33" s="14" t="n"/>
      <c r="C33" s="14" t="n"/>
      <c r="D33" s="14" t="n"/>
      <c r="E33" s="14" t="n"/>
      <c r="F33" s="15" t="n"/>
      <c r="G33" s="14" t="n"/>
      <c r="H33" s="16" t="n"/>
      <c r="I33" s="17" t="n"/>
      <c r="J33" s="17" t="n"/>
      <c r="K33" s="18" t="n"/>
      <c r="L33" s="14" t="n"/>
      <c r="M33" s="14" t="n"/>
      <c r="N33" s="16" t="n"/>
      <c r="O33" s="19">
        <f>IFERROR(IF(N33="","",IF(MAX(IFERROR(INDEX(Tarifas!$B$3:$F$65,MATCH(K33,Tarifas!$A$3:$A$65,0),MATCH(N33,Tarifas!$B$2:$F$2,0)),0),IFERROR(INDEX(Tarifas!$B$3:$F$65,MATCH(L33,Tarifas!$A$3:$A$65,0),MATCH(N33,Tarifas!$B$2:$F$2,0)),0),IFERROR(INDEX(Tarifas!$B$3:$F$65,MATCH(M33,Tarifas!$A$3:$A$65,0),MATCH(N33,Tarifas!$B$2:$F$2,0)),0))=0,"",MAX(IFERROR(INDEX(Tarifas!$B$3:$F$65,MATCH(K33,Tarifas!$A$3:$A$65,0),MATCH(N33,Tarifas!$B$2:$F$2,0)),0),IFERROR(INDEX(Tarifas!$B$3:$F$65,MATCH(L33,Tarifas!$A$3:$A$65,0),MATCH(N33,Tarifas!$B$2:$F$2,0)),0),IFERROR(INDEX(Tarifas!$B$3:$F$65,MATCH(M33,Tarifas!$A$3:$A$65,0),MATCH(N33,Tarifas!$B$2:$F$2,0)),0)))),"")</f>
        <v/>
      </c>
      <c r="P33" s="20">
        <f>IF(NOT(OR(B33&lt;&gt;"",C33&lt;&gt;"",D33&lt;&gt;"",E33&lt;&gt;"",F33&lt;&gt;"",G33&lt;&gt;"",H33&lt;&gt;"",I33&lt;&gt;"",J33&lt;&gt;"",K33&lt;&gt;"",N33&lt;&gt;"")),"",IF(AND(B33&lt;&gt;"",C33&lt;&gt;"",D33&lt;&gt;"",E33&lt;&gt;"",F33&lt;&gt;"",G33&lt;&gt;"",H33&lt;&gt;"",I33&lt;&gt;"",J33&lt;&gt;"",K33&lt;&gt;"",N33&lt;&gt;""),"✓ Completo","⚠ Faltan datos"))</f>
        <v/>
      </c>
      <c r="Q33" s="16" t="n"/>
    </row>
    <row r="34" ht="21" customHeight="1">
      <c r="A34" s="21" t="n">
        <v>28</v>
      </c>
      <c r="B34" s="22" t="n"/>
      <c r="C34" s="22" t="n"/>
      <c r="D34" s="22" t="n"/>
      <c r="E34" s="22" t="n"/>
      <c r="F34" s="23" t="n"/>
      <c r="G34" s="22" t="n"/>
      <c r="H34" s="24" t="n"/>
      <c r="I34" s="25" t="n"/>
      <c r="J34" s="25" t="n"/>
      <c r="K34" s="26" t="n"/>
      <c r="L34" s="22" t="n"/>
      <c r="M34" s="22" t="n"/>
      <c r="N34" s="24" t="n"/>
      <c r="O34" s="19">
        <f>IFERROR(IF(N34="","",IF(MAX(IFERROR(INDEX(Tarifas!$B$3:$F$65,MATCH(K34,Tarifas!$A$3:$A$65,0),MATCH(N34,Tarifas!$B$2:$F$2,0)),0),IFERROR(INDEX(Tarifas!$B$3:$F$65,MATCH(L34,Tarifas!$A$3:$A$65,0),MATCH(N34,Tarifas!$B$2:$F$2,0)),0),IFERROR(INDEX(Tarifas!$B$3:$F$65,MATCH(M34,Tarifas!$A$3:$A$65,0),MATCH(N34,Tarifas!$B$2:$F$2,0)),0))=0,"",MAX(IFERROR(INDEX(Tarifas!$B$3:$F$65,MATCH(K34,Tarifas!$A$3:$A$65,0),MATCH(N34,Tarifas!$B$2:$F$2,0)),0),IFERROR(INDEX(Tarifas!$B$3:$F$65,MATCH(L34,Tarifas!$A$3:$A$65,0),MATCH(N34,Tarifas!$B$2:$F$2,0)),0),IFERROR(INDEX(Tarifas!$B$3:$F$65,MATCH(M34,Tarifas!$A$3:$A$65,0),MATCH(N34,Tarifas!$B$2:$F$2,0)),0)))),"")</f>
        <v/>
      </c>
      <c r="P34" s="27">
        <f>IF(NOT(OR(B34&lt;&gt;"",C34&lt;&gt;"",D34&lt;&gt;"",E34&lt;&gt;"",F34&lt;&gt;"",G34&lt;&gt;"",H34&lt;&gt;"",I34&lt;&gt;"",J34&lt;&gt;"",K34&lt;&gt;"",N34&lt;&gt;"")),"",IF(AND(B34&lt;&gt;"",C34&lt;&gt;"",D34&lt;&gt;"",E34&lt;&gt;"",F34&lt;&gt;"",G34&lt;&gt;"",H34&lt;&gt;"",I34&lt;&gt;"",J34&lt;&gt;"",K34&lt;&gt;"",N34&lt;&gt;""),"✓ Completo","⚠ Faltan datos"))</f>
        <v/>
      </c>
      <c r="Q34" s="24" t="n"/>
    </row>
    <row r="35" ht="21" customHeight="1">
      <c r="A35" s="13" t="n">
        <v>29</v>
      </c>
      <c r="B35" s="14" t="n"/>
      <c r="C35" s="14" t="n"/>
      <c r="D35" s="14" t="n"/>
      <c r="E35" s="14" t="n"/>
      <c r="F35" s="15" t="n"/>
      <c r="G35" s="14" t="n"/>
      <c r="H35" s="16" t="n"/>
      <c r="I35" s="17" t="n"/>
      <c r="J35" s="17" t="n"/>
      <c r="K35" s="18" t="n"/>
      <c r="L35" s="14" t="n"/>
      <c r="M35" s="14" t="n"/>
      <c r="N35" s="16" t="n"/>
      <c r="O35" s="19">
        <f>IFERROR(IF(N35="","",IF(MAX(IFERROR(INDEX(Tarifas!$B$3:$F$65,MATCH(K35,Tarifas!$A$3:$A$65,0),MATCH(N35,Tarifas!$B$2:$F$2,0)),0),IFERROR(INDEX(Tarifas!$B$3:$F$65,MATCH(L35,Tarifas!$A$3:$A$65,0),MATCH(N35,Tarifas!$B$2:$F$2,0)),0),IFERROR(INDEX(Tarifas!$B$3:$F$65,MATCH(M35,Tarifas!$A$3:$A$65,0),MATCH(N35,Tarifas!$B$2:$F$2,0)),0))=0,"",MAX(IFERROR(INDEX(Tarifas!$B$3:$F$65,MATCH(K35,Tarifas!$A$3:$A$65,0),MATCH(N35,Tarifas!$B$2:$F$2,0)),0),IFERROR(INDEX(Tarifas!$B$3:$F$65,MATCH(L35,Tarifas!$A$3:$A$65,0),MATCH(N35,Tarifas!$B$2:$F$2,0)),0),IFERROR(INDEX(Tarifas!$B$3:$F$65,MATCH(M35,Tarifas!$A$3:$A$65,0),MATCH(N35,Tarifas!$B$2:$F$2,0)),0)))),"")</f>
        <v/>
      </c>
      <c r="P35" s="20">
        <f>IF(NOT(OR(B35&lt;&gt;"",C35&lt;&gt;"",D35&lt;&gt;"",E35&lt;&gt;"",F35&lt;&gt;"",G35&lt;&gt;"",H35&lt;&gt;"",I35&lt;&gt;"",J35&lt;&gt;"",K35&lt;&gt;"",N35&lt;&gt;"")),"",IF(AND(B35&lt;&gt;"",C35&lt;&gt;"",D35&lt;&gt;"",E35&lt;&gt;"",F35&lt;&gt;"",G35&lt;&gt;"",H35&lt;&gt;"",I35&lt;&gt;"",J35&lt;&gt;"",K35&lt;&gt;"",N35&lt;&gt;""),"✓ Completo","⚠ Faltan datos"))</f>
        <v/>
      </c>
      <c r="Q35" s="16" t="n"/>
    </row>
    <row r="36" ht="21" customHeight="1">
      <c r="A36" s="21" t="n">
        <v>30</v>
      </c>
      <c r="B36" s="22" t="n"/>
      <c r="C36" s="22" t="n"/>
      <c r="D36" s="22" t="n"/>
      <c r="E36" s="22" t="n"/>
      <c r="F36" s="23" t="n"/>
      <c r="G36" s="22" t="n"/>
      <c r="H36" s="24" t="n"/>
      <c r="I36" s="25" t="n"/>
      <c r="J36" s="25" t="n"/>
      <c r="K36" s="26" t="n"/>
      <c r="L36" s="22" t="n"/>
      <c r="M36" s="22" t="n"/>
      <c r="N36" s="24" t="n"/>
      <c r="O36" s="19">
        <f>IFERROR(IF(N36="","",IF(MAX(IFERROR(INDEX(Tarifas!$B$3:$F$65,MATCH(K36,Tarifas!$A$3:$A$65,0),MATCH(N36,Tarifas!$B$2:$F$2,0)),0),IFERROR(INDEX(Tarifas!$B$3:$F$65,MATCH(L36,Tarifas!$A$3:$A$65,0),MATCH(N36,Tarifas!$B$2:$F$2,0)),0),IFERROR(INDEX(Tarifas!$B$3:$F$65,MATCH(M36,Tarifas!$A$3:$A$65,0),MATCH(N36,Tarifas!$B$2:$F$2,0)),0))=0,"",MAX(IFERROR(INDEX(Tarifas!$B$3:$F$65,MATCH(K36,Tarifas!$A$3:$A$65,0),MATCH(N36,Tarifas!$B$2:$F$2,0)),0),IFERROR(INDEX(Tarifas!$B$3:$F$65,MATCH(L36,Tarifas!$A$3:$A$65,0),MATCH(N36,Tarifas!$B$2:$F$2,0)),0),IFERROR(INDEX(Tarifas!$B$3:$F$65,MATCH(M36,Tarifas!$A$3:$A$65,0),MATCH(N36,Tarifas!$B$2:$F$2,0)),0)))),"")</f>
        <v/>
      </c>
      <c r="P36" s="27">
        <f>IF(NOT(OR(B36&lt;&gt;"",C36&lt;&gt;"",D36&lt;&gt;"",E36&lt;&gt;"",F36&lt;&gt;"",G36&lt;&gt;"",H36&lt;&gt;"",I36&lt;&gt;"",J36&lt;&gt;"",K36&lt;&gt;"",N36&lt;&gt;"")),"",IF(AND(B36&lt;&gt;"",C36&lt;&gt;"",D36&lt;&gt;"",E36&lt;&gt;"",F36&lt;&gt;"",G36&lt;&gt;"",H36&lt;&gt;"",I36&lt;&gt;"",J36&lt;&gt;"",K36&lt;&gt;"",N36&lt;&gt;""),"✓ Completo","⚠ Faltan datos"))</f>
        <v/>
      </c>
      <c r="Q36" s="24" t="n"/>
    </row>
    <row r="37" ht="21" customHeight="1">
      <c r="A37" s="13" t="n">
        <v>31</v>
      </c>
      <c r="B37" s="14" t="n"/>
      <c r="C37" s="14" t="n"/>
      <c r="D37" s="14" t="n"/>
      <c r="E37" s="14" t="n"/>
      <c r="F37" s="15" t="n"/>
      <c r="G37" s="14" t="n"/>
      <c r="H37" s="16" t="n"/>
      <c r="I37" s="17" t="n"/>
      <c r="J37" s="17" t="n"/>
      <c r="K37" s="18" t="n"/>
      <c r="L37" s="14" t="n"/>
      <c r="M37" s="14" t="n"/>
      <c r="N37" s="16" t="n"/>
      <c r="O37" s="19">
        <f>IFERROR(IF(N37="","",IF(MAX(IFERROR(INDEX(Tarifas!$B$3:$F$65,MATCH(K37,Tarifas!$A$3:$A$65,0),MATCH(N37,Tarifas!$B$2:$F$2,0)),0),IFERROR(INDEX(Tarifas!$B$3:$F$65,MATCH(L37,Tarifas!$A$3:$A$65,0),MATCH(N37,Tarifas!$B$2:$F$2,0)),0),IFERROR(INDEX(Tarifas!$B$3:$F$65,MATCH(M37,Tarifas!$A$3:$A$65,0),MATCH(N37,Tarifas!$B$2:$F$2,0)),0))=0,"",MAX(IFERROR(INDEX(Tarifas!$B$3:$F$65,MATCH(K37,Tarifas!$A$3:$A$65,0),MATCH(N37,Tarifas!$B$2:$F$2,0)),0),IFERROR(INDEX(Tarifas!$B$3:$F$65,MATCH(L37,Tarifas!$A$3:$A$65,0),MATCH(N37,Tarifas!$B$2:$F$2,0)),0),IFERROR(INDEX(Tarifas!$B$3:$F$65,MATCH(M37,Tarifas!$A$3:$A$65,0),MATCH(N37,Tarifas!$B$2:$F$2,0)),0)))),"")</f>
        <v/>
      </c>
      <c r="P37" s="20">
        <f>IF(NOT(OR(B37&lt;&gt;"",C37&lt;&gt;"",D37&lt;&gt;"",E37&lt;&gt;"",F37&lt;&gt;"",G37&lt;&gt;"",H37&lt;&gt;"",I37&lt;&gt;"",J37&lt;&gt;"",K37&lt;&gt;"",N37&lt;&gt;"")),"",IF(AND(B37&lt;&gt;"",C37&lt;&gt;"",D37&lt;&gt;"",E37&lt;&gt;"",F37&lt;&gt;"",G37&lt;&gt;"",H37&lt;&gt;"",I37&lt;&gt;"",J37&lt;&gt;"",K37&lt;&gt;"",N37&lt;&gt;""),"✓ Completo","⚠ Faltan datos"))</f>
        <v/>
      </c>
      <c r="Q37" s="16" t="n"/>
    </row>
    <row r="38" ht="21" customHeight="1">
      <c r="A38" s="21" t="n">
        <v>32</v>
      </c>
      <c r="B38" s="22" t="n"/>
      <c r="C38" s="22" t="n"/>
      <c r="D38" s="22" t="n"/>
      <c r="E38" s="22" t="n"/>
      <c r="F38" s="23" t="n"/>
      <c r="G38" s="22" t="n"/>
      <c r="H38" s="24" t="n"/>
      <c r="I38" s="25" t="n"/>
      <c r="J38" s="25" t="n"/>
      <c r="K38" s="26" t="n"/>
      <c r="L38" s="22" t="n"/>
      <c r="M38" s="22" t="n"/>
      <c r="N38" s="24" t="n"/>
      <c r="O38" s="19">
        <f>IFERROR(IF(N38="","",IF(MAX(IFERROR(INDEX(Tarifas!$B$3:$F$65,MATCH(K38,Tarifas!$A$3:$A$65,0),MATCH(N38,Tarifas!$B$2:$F$2,0)),0),IFERROR(INDEX(Tarifas!$B$3:$F$65,MATCH(L38,Tarifas!$A$3:$A$65,0),MATCH(N38,Tarifas!$B$2:$F$2,0)),0),IFERROR(INDEX(Tarifas!$B$3:$F$65,MATCH(M38,Tarifas!$A$3:$A$65,0),MATCH(N38,Tarifas!$B$2:$F$2,0)),0))=0,"",MAX(IFERROR(INDEX(Tarifas!$B$3:$F$65,MATCH(K38,Tarifas!$A$3:$A$65,0),MATCH(N38,Tarifas!$B$2:$F$2,0)),0),IFERROR(INDEX(Tarifas!$B$3:$F$65,MATCH(L38,Tarifas!$A$3:$A$65,0),MATCH(N38,Tarifas!$B$2:$F$2,0)),0),IFERROR(INDEX(Tarifas!$B$3:$F$65,MATCH(M38,Tarifas!$A$3:$A$65,0),MATCH(N38,Tarifas!$B$2:$F$2,0)),0)))),"")</f>
        <v/>
      </c>
      <c r="P38" s="27">
        <f>IF(NOT(OR(B38&lt;&gt;"",C38&lt;&gt;"",D38&lt;&gt;"",E38&lt;&gt;"",F38&lt;&gt;"",G38&lt;&gt;"",H38&lt;&gt;"",I38&lt;&gt;"",J38&lt;&gt;"",K38&lt;&gt;"",N38&lt;&gt;"")),"",IF(AND(B38&lt;&gt;"",C38&lt;&gt;"",D38&lt;&gt;"",E38&lt;&gt;"",F38&lt;&gt;"",G38&lt;&gt;"",H38&lt;&gt;"",I38&lt;&gt;"",J38&lt;&gt;"",K38&lt;&gt;"",N38&lt;&gt;""),"✓ Completo","⚠ Faltan datos"))</f>
        <v/>
      </c>
      <c r="Q38" s="24" t="n"/>
    </row>
    <row r="39" ht="21" customHeight="1">
      <c r="A39" s="13" t="n">
        <v>33</v>
      </c>
      <c r="B39" s="14" t="n"/>
      <c r="C39" s="14" t="n"/>
      <c r="D39" s="14" t="n"/>
      <c r="E39" s="14" t="n"/>
      <c r="F39" s="15" t="n"/>
      <c r="G39" s="14" t="n"/>
      <c r="H39" s="16" t="n"/>
      <c r="I39" s="17" t="n"/>
      <c r="J39" s="17" t="n"/>
      <c r="K39" s="18" t="n"/>
      <c r="L39" s="14" t="n"/>
      <c r="M39" s="14" t="n"/>
      <c r="N39" s="16" t="n"/>
      <c r="O39" s="19">
        <f>IFERROR(IF(N39="","",IF(MAX(IFERROR(INDEX(Tarifas!$B$3:$F$65,MATCH(K39,Tarifas!$A$3:$A$65,0),MATCH(N39,Tarifas!$B$2:$F$2,0)),0),IFERROR(INDEX(Tarifas!$B$3:$F$65,MATCH(L39,Tarifas!$A$3:$A$65,0),MATCH(N39,Tarifas!$B$2:$F$2,0)),0),IFERROR(INDEX(Tarifas!$B$3:$F$65,MATCH(M39,Tarifas!$A$3:$A$65,0),MATCH(N39,Tarifas!$B$2:$F$2,0)),0))=0,"",MAX(IFERROR(INDEX(Tarifas!$B$3:$F$65,MATCH(K39,Tarifas!$A$3:$A$65,0),MATCH(N39,Tarifas!$B$2:$F$2,0)),0),IFERROR(INDEX(Tarifas!$B$3:$F$65,MATCH(L39,Tarifas!$A$3:$A$65,0),MATCH(N39,Tarifas!$B$2:$F$2,0)),0),IFERROR(INDEX(Tarifas!$B$3:$F$65,MATCH(M39,Tarifas!$A$3:$A$65,0),MATCH(N39,Tarifas!$B$2:$F$2,0)),0)))),"")</f>
        <v/>
      </c>
      <c r="P39" s="20">
        <f>IF(NOT(OR(B39&lt;&gt;"",C39&lt;&gt;"",D39&lt;&gt;"",E39&lt;&gt;"",F39&lt;&gt;"",G39&lt;&gt;"",H39&lt;&gt;"",I39&lt;&gt;"",J39&lt;&gt;"",K39&lt;&gt;"",N39&lt;&gt;"")),"",IF(AND(B39&lt;&gt;"",C39&lt;&gt;"",D39&lt;&gt;"",E39&lt;&gt;"",F39&lt;&gt;"",G39&lt;&gt;"",H39&lt;&gt;"",I39&lt;&gt;"",J39&lt;&gt;"",K39&lt;&gt;"",N39&lt;&gt;""),"✓ Completo","⚠ Faltan datos"))</f>
        <v/>
      </c>
      <c r="Q39" s="16" t="n"/>
    </row>
    <row r="40" ht="21" customHeight="1">
      <c r="A40" s="21" t="n">
        <v>34</v>
      </c>
      <c r="B40" s="22" t="n"/>
      <c r="C40" s="22" t="n"/>
      <c r="D40" s="22" t="n"/>
      <c r="E40" s="22" t="n"/>
      <c r="F40" s="23" t="n"/>
      <c r="G40" s="22" t="n"/>
      <c r="H40" s="24" t="n"/>
      <c r="I40" s="25" t="n"/>
      <c r="J40" s="25" t="n"/>
      <c r="K40" s="26" t="n"/>
      <c r="L40" s="22" t="n"/>
      <c r="M40" s="22" t="n"/>
      <c r="N40" s="24" t="n"/>
      <c r="O40" s="19">
        <f>IFERROR(IF(N40="","",IF(MAX(IFERROR(INDEX(Tarifas!$B$3:$F$65,MATCH(K40,Tarifas!$A$3:$A$65,0),MATCH(N40,Tarifas!$B$2:$F$2,0)),0),IFERROR(INDEX(Tarifas!$B$3:$F$65,MATCH(L40,Tarifas!$A$3:$A$65,0),MATCH(N40,Tarifas!$B$2:$F$2,0)),0),IFERROR(INDEX(Tarifas!$B$3:$F$65,MATCH(M40,Tarifas!$A$3:$A$65,0),MATCH(N40,Tarifas!$B$2:$F$2,0)),0))=0,"",MAX(IFERROR(INDEX(Tarifas!$B$3:$F$65,MATCH(K40,Tarifas!$A$3:$A$65,0),MATCH(N40,Tarifas!$B$2:$F$2,0)),0),IFERROR(INDEX(Tarifas!$B$3:$F$65,MATCH(L40,Tarifas!$A$3:$A$65,0),MATCH(N40,Tarifas!$B$2:$F$2,0)),0),IFERROR(INDEX(Tarifas!$B$3:$F$65,MATCH(M40,Tarifas!$A$3:$A$65,0),MATCH(N40,Tarifas!$B$2:$F$2,0)),0)))),"")</f>
        <v/>
      </c>
      <c r="P40" s="27">
        <f>IF(NOT(OR(B40&lt;&gt;"",C40&lt;&gt;"",D40&lt;&gt;"",E40&lt;&gt;"",F40&lt;&gt;"",G40&lt;&gt;"",H40&lt;&gt;"",I40&lt;&gt;"",J40&lt;&gt;"",K40&lt;&gt;"",N40&lt;&gt;"")),"",IF(AND(B40&lt;&gt;"",C40&lt;&gt;"",D40&lt;&gt;"",E40&lt;&gt;"",F40&lt;&gt;"",G40&lt;&gt;"",H40&lt;&gt;"",I40&lt;&gt;"",J40&lt;&gt;"",K40&lt;&gt;"",N40&lt;&gt;""),"✓ Completo","⚠ Faltan datos"))</f>
        <v/>
      </c>
      <c r="Q40" s="24" t="n"/>
    </row>
    <row r="41" ht="21" customHeight="1">
      <c r="A41" s="13" t="n">
        <v>35</v>
      </c>
      <c r="B41" s="14" t="n"/>
      <c r="C41" s="14" t="n"/>
      <c r="D41" s="14" t="n"/>
      <c r="E41" s="14" t="n"/>
      <c r="F41" s="15" t="n"/>
      <c r="G41" s="14" t="n"/>
      <c r="H41" s="16" t="n"/>
      <c r="I41" s="17" t="n"/>
      <c r="J41" s="17" t="n"/>
      <c r="K41" s="18" t="n"/>
      <c r="L41" s="14" t="n"/>
      <c r="M41" s="14" t="n"/>
      <c r="N41" s="16" t="n"/>
      <c r="O41" s="19">
        <f>IFERROR(IF(N41="","",IF(MAX(IFERROR(INDEX(Tarifas!$B$3:$F$65,MATCH(K41,Tarifas!$A$3:$A$65,0),MATCH(N41,Tarifas!$B$2:$F$2,0)),0),IFERROR(INDEX(Tarifas!$B$3:$F$65,MATCH(L41,Tarifas!$A$3:$A$65,0),MATCH(N41,Tarifas!$B$2:$F$2,0)),0),IFERROR(INDEX(Tarifas!$B$3:$F$65,MATCH(M41,Tarifas!$A$3:$A$65,0),MATCH(N41,Tarifas!$B$2:$F$2,0)),0))=0,"",MAX(IFERROR(INDEX(Tarifas!$B$3:$F$65,MATCH(K41,Tarifas!$A$3:$A$65,0),MATCH(N41,Tarifas!$B$2:$F$2,0)),0),IFERROR(INDEX(Tarifas!$B$3:$F$65,MATCH(L41,Tarifas!$A$3:$A$65,0),MATCH(N41,Tarifas!$B$2:$F$2,0)),0),IFERROR(INDEX(Tarifas!$B$3:$F$65,MATCH(M41,Tarifas!$A$3:$A$65,0),MATCH(N41,Tarifas!$B$2:$F$2,0)),0)))),"")</f>
        <v/>
      </c>
      <c r="P41" s="20">
        <f>IF(NOT(OR(B41&lt;&gt;"",C41&lt;&gt;"",D41&lt;&gt;"",E41&lt;&gt;"",F41&lt;&gt;"",G41&lt;&gt;"",H41&lt;&gt;"",I41&lt;&gt;"",J41&lt;&gt;"",K41&lt;&gt;"",N41&lt;&gt;"")),"",IF(AND(B41&lt;&gt;"",C41&lt;&gt;"",D41&lt;&gt;"",E41&lt;&gt;"",F41&lt;&gt;"",G41&lt;&gt;"",H41&lt;&gt;"",I41&lt;&gt;"",J41&lt;&gt;"",K41&lt;&gt;"",N41&lt;&gt;""),"✓ Completo","⚠ Faltan datos"))</f>
        <v/>
      </c>
      <c r="Q41" s="16" t="n"/>
    </row>
    <row r="42" ht="21" customHeight="1">
      <c r="A42" s="21" t="n">
        <v>36</v>
      </c>
      <c r="B42" s="22" t="n"/>
      <c r="C42" s="22" t="n"/>
      <c r="D42" s="22" t="n"/>
      <c r="E42" s="22" t="n"/>
      <c r="F42" s="23" t="n"/>
      <c r="G42" s="22" t="n"/>
      <c r="H42" s="24" t="n"/>
      <c r="I42" s="25" t="n"/>
      <c r="J42" s="25" t="n"/>
      <c r="K42" s="26" t="n"/>
      <c r="L42" s="22" t="n"/>
      <c r="M42" s="22" t="n"/>
      <c r="N42" s="24" t="n"/>
      <c r="O42" s="19">
        <f>IFERROR(IF(N42="","",IF(MAX(IFERROR(INDEX(Tarifas!$B$3:$F$65,MATCH(K42,Tarifas!$A$3:$A$65,0),MATCH(N42,Tarifas!$B$2:$F$2,0)),0),IFERROR(INDEX(Tarifas!$B$3:$F$65,MATCH(L42,Tarifas!$A$3:$A$65,0),MATCH(N42,Tarifas!$B$2:$F$2,0)),0),IFERROR(INDEX(Tarifas!$B$3:$F$65,MATCH(M42,Tarifas!$A$3:$A$65,0),MATCH(N42,Tarifas!$B$2:$F$2,0)),0))=0,"",MAX(IFERROR(INDEX(Tarifas!$B$3:$F$65,MATCH(K42,Tarifas!$A$3:$A$65,0),MATCH(N42,Tarifas!$B$2:$F$2,0)),0),IFERROR(INDEX(Tarifas!$B$3:$F$65,MATCH(L42,Tarifas!$A$3:$A$65,0),MATCH(N42,Tarifas!$B$2:$F$2,0)),0),IFERROR(INDEX(Tarifas!$B$3:$F$65,MATCH(M42,Tarifas!$A$3:$A$65,0),MATCH(N42,Tarifas!$B$2:$F$2,0)),0)))),"")</f>
        <v/>
      </c>
      <c r="P42" s="27">
        <f>IF(NOT(OR(B42&lt;&gt;"",C42&lt;&gt;"",D42&lt;&gt;"",E42&lt;&gt;"",F42&lt;&gt;"",G42&lt;&gt;"",H42&lt;&gt;"",I42&lt;&gt;"",J42&lt;&gt;"",K42&lt;&gt;"",N42&lt;&gt;"")),"",IF(AND(B42&lt;&gt;"",C42&lt;&gt;"",D42&lt;&gt;"",E42&lt;&gt;"",F42&lt;&gt;"",G42&lt;&gt;"",H42&lt;&gt;"",I42&lt;&gt;"",J42&lt;&gt;"",K42&lt;&gt;"",N42&lt;&gt;""),"✓ Completo","⚠ Faltan datos"))</f>
        <v/>
      </c>
      <c r="Q42" s="24" t="n"/>
    </row>
    <row r="43" ht="21" customHeight="1">
      <c r="A43" s="13" t="n">
        <v>37</v>
      </c>
      <c r="B43" s="14" t="n"/>
      <c r="C43" s="14" t="n"/>
      <c r="D43" s="14" t="n"/>
      <c r="E43" s="14" t="n"/>
      <c r="F43" s="15" t="n"/>
      <c r="G43" s="14" t="n"/>
      <c r="H43" s="16" t="n"/>
      <c r="I43" s="17" t="n"/>
      <c r="J43" s="17" t="n"/>
      <c r="K43" s="18" t="n"/>
      <c r="L43" s="14" t="n"/>
      <c r="M43" s="14" t="n"/>
      <c r="N43" s="16" t="n"/>
      <c r="O43" s="19">
        <f>IFERROR(IF(N43="","",IF(MAX(IFERROR(INDEX(Tarifas!$B$3:$F$65,MATCH(K43,Tarifas!$A$3:$A$65,0),MATCH(N43,Tarifas!$B$2:$F$2,0)),0),IFERROR(INDEX(Tarifas!$B$3:$F$65,MATCH(L43,Tarifas!$A$3:$A$65,0),MATCH(N43,Tarifas!$B$2:$F$2,0)),0),IFERROR(INDEX(Tarifas!$B$3:$F$65,MATCH(M43,Tarifas!$A$3:$A$65,0),MATCH(N43,Tarifas!$B$2:$F$2,0)),0))=0,"",MAX(IFERROR(INDEX(Tarifas!$B$3:$F$65,MATCH(K43,Tarifas!$A$3:$A$65,0),MATCH(N43,Tarifas!$B$2:$F$2,0)),0),IFERROR(INDEX(Tarifas!$B$3:$F$65,MATCH(L43,Tarifas!$A$3:$A$65,0),MATCH(N43,Tarifas!$B$2:$F$2,0)),0),IFERROR(INDEX(Tarifas!$B$3:$F$65,MATCH(M43,Tarifas!$A$3:$A$65,0),MATCH(N43,Tarifas!$B$2:$F$2,0)),0)))),"")</f>
        <v/>
      </c>
      <c r="P43" s="20">
        <f>IF(NOT(OR(B43&lt;&gt;"",C43&lt;&gt;"",D43&lt;&gt;"",E43&lt;&gt;"",F43&lt;&gt;"",G43&lt;&gt;"",H43&lt;&gt;"",I43&lt;&gt;"",J43&lt;&gt;"",K43&lt;&gt;"",N43&lt;&gt;"")),"",IF(AND(B43&lt;&gt;"",C43&lt;&gt;"",D43&lt;&gt;"",E43&lt;&gt;"",F43&lt;&gt;"",G43&lt;&gt;"",H43&lt;&gt;"",I43&lt;&gt;"",J43&lt;&gt;"",K43&lt;&gt;"",N43&lt;&gt;""),"✓ Completo","⚠ Faltan datos"))</f>
        <v/>
      </c>
      <c r="Q43" s="16" t="n"/>
    </row>
    <row r="44" ht="21" customHeight="1">
      <c r="A44" s="21" t="n">
        <v>38</v>
      </c>
      <c r="B44" s="22" t="n"/>
      <c r="C44" s="22" t="n"/>
      <c r="D44" s="22" t="n"/>
      <c r="E44" s="22" t="n"/>
      <c r="F44" s="23" t="n"/>
      <c r="G44" s="22" t="n"/>
      <c r="H44" s="24" t="n"/>
      <c r="I44" s="25" t="n"/>
      <c r="J44" s="25" t="n"/>
      <c r="K44" s="26" t="n"/>
      <c r="L44" s="22" t="n"/>
      <c r="M44" s="22" t="n"/>
      <c r="N44" s="24" t="n"/>
      <c r="O44" s="19">
        <f>IFERROR(IF(N44="","",IF(MAX(IFERROR(INDEX(Tarifas!$B$3:$F$65,MATCH(K44,Tarifas!$A$3:$A$65,0),MATCH(N44,Tarifas!$B$2:$F$2,0)),0),IFERROR(INDEX(Tarifas!$B$3:$F$65,MATCH(L44,Tarifas!$A$3:$A$65,0),MATCH(N44,Tarifas!$B$2:$F$2,0)),0),IFERROR(INDEX(Tarifas!$B$3:$F$65,MATCH(M44,Tarifas!$A$3:$A$65,0),MATCH(N44,Tarifas!$B$2:$F$2,0)),0))=0,"",MAX(IFERROR(INDEX(Tarifas!$B$3:$F$65,MATCH(K44,Tarifas!$A$3:$A$65,0),MATCH(N44,Tarifas!$B$2:$F$2,0)),0),IFERROR(INDEX(Tarifas!$B$3:$F$65,MATCH(L44,Tarifas!$A$3:$A$65,0),MATCH(N44,Tarifas!$B$2:$F$2,0)),0),IFERROR(INDEX(Tarifas!$B$3:$F$65,MATCH(M44,Tarifas!$A$3:$A$65,0),MATCH(N44,Tarifas!$B$2:$F$2,0)),0)))),"")</f>
        <v/>
      </c>
      <c r="P44" s="27">
        <f>IF(NOT(OR(B44&lt;&gt;"",C44&lt;&gt;"",D44&lt;&gt;"",E44&lt;&gt;"",F44&lt;&gt;"",G44&lt;&gt;"",H44&lt;&gt;"",I44&lt;&gt;"",J44&lt;&gt;"",K44&lt;&gt;"",N44&lt;&gt;"")),"",IF(AND(B44&lt;&gt;"",C44&lt;&gt;"",D44&lt;&gt;"",E44&lt;&gt;"",F44&lt;&gt;"",G44&lt;&gt;"",H44&lt;&gt;"",I44&lt;&gt;"",J44&lt;&gt;"",K44&lt;&gt;"",N44&lt;&gt;""),"✓ Completo","⚠ Faltan datos"))</f>
        <v/>
      </c>
      <c r="Q44" s="24" t="n"/>
    </row>
    <row r="45" ht="21" customHeight="1">
      <c r="A45" s="13" t="n">
        <v>39</v>
      </c>
      <c r="B45" s="14" t="n"/>
      <c r="C45" s="14" t="n"/>
      <c r="D45" s="14" t="n"/>
      <c r="E45" s="14" t="n"/>
      <c r="F45" s="15" t="n"/>
      <c r="G45" s="14" t="n"/>
      <c r="H45" s="16" t="n"/>
      <c r="I45" s="17" t="n"/>
      <c r="J45" s="17" t="n"/>
      <c r="K45" s="18" t="n"/>
      <c r="L45" s="14" t="n"/>
      <c r="M45" s="14" t="n"/>
      <c r="N45" s="16" t="n"/>
      <c r="O45" s="19">
        <f>IFERROR(IF(N45="","",IF(MAX(IFERROR(INDEX(Tarifas!$B$3:$F$65,MATCH(K45,Tarifas!$A$3:$A$65,0),MATCH(N45,Tarifas!$B$2:$F$2,0)),0),IFERROR(INDEX(Tarifas!$B$3:$F$65,MATCH(L45,Tarifas!$A$3:$A$65,0),MATCH(N45,Tarifas!$B$2:$F$2,0)),0),IFERROR(INDEX(Tarifas!$B$3:$F$65,MATCH(M45,Tarifas!$A$3:$A$65,0),MATCH(N45,Tarifas!$B$2:$F$2,0)),0))=0,"",MAX(IFERROR(INDEX(Tarifas!$B$3:$F$65,MATCH(K45,Tarifas!$A$3:$A$65,0),MATCH(N45,Tarifas!$B$2:$F$2,0)),0),IFERROR(INDEX(Tarifas!$B$3:$F$65,MATCH(L45,Tarifas!$A$3:$A$65,0),MATCH(N45,Tarifas!$B$2:$F$2,0)),0),IFERROR(INDEX(Tarifas!$B$3:$F$65,MATCH(M45,Tarifas!$A$3:$A$65,0),MATCH(N45,Tarifas!$B$2:$F$2,0)),0)))),"")</f>
        <v/>
      </c>
      <c r="P45" s="20">
        <f>IF(NOT(OR(B45&lt;&gt;"",C45&lt;&gt;"",D45&lt;&gt;"",E45&lt;&gt;"",F45&lt;&gt;"",G45&lt;&gt;"",H45&lt;&gt;"",I45&lt;&gt;"",J45&lt;&gt;"",K45&lt;&gt;"",N45&lt;&gt;"")),"",IF(AND(B45&lt;&gt;"",C45&lt;&gt;"",D45&lt;&gt;"",E45&lt;&gt;"",F45&lt;&gt;"",G45&lt;&gt;"",H45&lt;&gt;"",I45&lt;&gt;"",J45&lt;&gt;"",K45&lt;&gt;"",N45&lt;&gt;""),"✓ Completo","⚠ Faltan datos"))</f>
        <v/>
      </c>
      <c r="Q45" s="16" t="n"/>
    </row>
    <row r="46" ht="21" customHeight="1">
      <c r="A46" s="21" t="n">
        <v>40</v>
      </c>
      <c r="B46" s="22" t="n"/>
      <c r="C46" s="22" t="n"/>
      <c r="D46" s="22" t="n"/>
      <c r="E46" s="22" t="n"/>
      <c r="F46" s="23" t="n"/>
      <c r="G46" s="22" t="n"/>
      <c r="H46" s="24" t="n"/>
      <c r="I46" s="25" t="n"/>
      <c r="J46" s="25" t="n"/>
      <c r="K46" s="26" t="n"/>
      <c r="L46" s="22" t="n"/>
      <c r="M46" s="22" t="n"/>
      <c r="N46" s="24" t="n"/>
      <c r="O46" s="19">
        <f>IFERROR(IF(N46="","",IF(MAX(IFERROR(INDEX(Tarifas!$B$3:$F$65,MATCH(K46,Tarifas!$A$3:$A$65,0),MATCH(N46,Tarifas!$B$2:$F$2,0)),0),IFERROR(INDEX(Tarifas!$B$3:$F$65,MATCH(L46,Tarifas!$A$3:$A$65,0),MATCH(N46,Tarifas!$B$2:$F$2,0)),0),IFERROR(INDEX(Tarifas!$B$3:$F$65,MATCH(M46,Tarifas!$A$3:$A$65,0),MATCH(N46,Tarifas!$B$2:$F$2,0)),0))=0,"",MAX(IFERROR(INDEX(Tarifas!$B$3:$F$65,MATCH(K46,Tarifas!$A$3:$A$65,0),MATCH(N46,Tarifas!$B$2:$F$2,0)),0),IFERROR(INDEX(Tarifas!$B$3:$F$65,MATCH(L46,Tarifas!$A$3:$A$65,0),MATCH(N46,Tarifas!$B$2:$F$2,0)),0),IFERROR(INDEX(Tarifas!$B$3:$F$65,MATCH(M46,Tarifas!$A$3:$A$65,0),MATCH(N46,Tarifas!$B$2:$F$2,0)),0)))),"")</f>
        <v/>
      </c>
      <c r="P46" s="27">
        <f>IF(NOT(OR(B46&lt;&gt;"",C46&lt;&gt;"",D46&lt;&gt;"",E46&lt;&gt;"",F46&lt;&gt;"",G46&lt;&gt;"",H46&lt;&gt;"",I46&lt;&gt;"",J46&lt;&gt;"",K46&lt;&gt;"",N46&lt;&gt;"")),"",IF(AND(B46&lt;&gt;"",C46&lt;&gt;"",D46&lt;&gt;"",E46&lt;&gt;"",F46&lt;&gt;"",G46&lt;&gt;"",H46&lt;&gt;"",I46&lt;&gt;"",J46&lt;&gt;"",K46&lt;&gt;"",N46&lt;&gt;""),"✓ Completo","⚠ Faltan datos"))</f>
        <v/>
      </c>
      <c r="Q46" s="24" t="n"/>
    </row>
    <row r="47" ht="21" customHeight="1">
      <c r="A47" s="13" t="n">
        <v>41</v>
      </c>
      <c r="B47" s="14" t="n"/>
      <c r="C47" s="14" t="n"/>
      <c r="D47" s="14" t="n"/>
      <c r="E47" s="14" t="n"/>
      <c r="F47" s="15" t="n"/>
      <c r="G47" s="14" t="n"/>
      <c r="H47" s="16" t="n"/>
      <c r="I47" s="17" t="n"/>
      <c r="J47" s="17" t="n"/>
      <c r="K47" s="18" t="n"/>
      <c r="L47" s="14" t="n"/>
      <c r="M47" s="14" t="n"/>
      <c r="N47" s="16" t="n"/>
      <c r="O47" s="19">
        <f>IFERROR(IF(N47="","",IF(MAX(IFERROR(INDEX(Tarifas!$B$3:$F$65,MATCH(K47,Tarifas!$A$3:$A$65,0),MATCH(N47,Tarifas!$B$2:$F$2,0)),0),IFERROR(INDEX(Tarifas!$B$3:$F$65,MATCH(L47,Tarifas!$A$3:$A$65,0),MATCH(N47,Tarifas!$B$2:$F$2,0)),0),IFERROR(INDEX(Tarifas!$B$3:$F$65,MATCH(M47,Tarifas!$A$3:$A$65,0),MATCH(N47,Tarifas!$B$2:$F$2,0)),0))=0,"",MAX(IFERROR(INDEX(Tarifas!$B$3:$F$65,MATCH(K47,Tarifas!$A$3:$A$65,0),MATCH(N47,Tarifas!$B$2:$F$2,0)),0),IFERROR(INDEX(Tarifas!$B$3:$F$65,MATCH(L47,Tarifas!$A$3:$A$65,0),MATCH(N47,Tarifas!$B$2:$F$2,0)),0),IFERROR(INDEX(Tarifas!$B$3:$F$65,MATCH(M47,Tarifas!$A$3:$A$65,0),MATCH(N47,Tarifas!$B$2:$F$2,0)),0)))),"")</f>
        <v/>
      </c>
      <c r="P47" s="20">
        <f>IF(NOT(OR(B47&lt;&gt;"",C47&lt;&gt;"",D47&lt;&gt;"",E47&lt;&gt;"",F47&lt;&gt;"",G47&lt;&gt;"",H47&lt;&gt;"",I47&lt;&gt;"",J47&lt;&gt;"",K47&lt;&gt;"",N47&lt;&gt;"")),"",IF(AND(B47&lt;&gt;"",C47&lt;&gt;"",D47&lt;&gt;"",E47&lt;&gt;"",F47&lt;&gt;"",G47&lt;&gt;"",H47&lt;&gt;"",I47&lt;&gt;"",J47&lt;&gt;"",K47&lt;&gt;"",N47&lt;&gt;""),"✓ Completo","⚠ Faltan datos"))</f>
        <v/>
      </c>
      <c r="Q47" s="16" t="n"/>
    </row>
    <row r="48" ht="21" customHeight="1">
      <c r="A48" s="21" t="n">
        <v>42</v>
      </c>
      <c r="B48" s="22" t="n"/>
      <c r="C48" s="22" t="n"/>
      <c r="D48" s="22" t="n"/>
      <c r="E48" s="22" t="n"/>
      <c r="F48" s="23" t="n"/>
      <c r="G48" s="22" t="n"/>
      <c r="H48" s="24" t="n"/>
      <c r="I48" s="25" t="n"/>
      <c r="J48" s="25" t="n"/>
      <c r="K48" s="26" t="n"/>
      <c r="L48" s="22" t="n"/>
      <c r="M48" s="22" t="n"/>
      <c r="N48" s="24" t="n"/>
      <c r="O48" s="19">
        <f>IFERROR(IF(N48="","",IF(MAX(IFERROR(INDEX(Tarifas!$B$3:$F$65,MATCH(K48,Tarifas!$A$3:$A$65,0),MATCH(N48,Tarifas!$B$2:$F$2,0)),0),IFERROR(INDEX(Tarifas!$B$3:$F$65,MATCH(L48,Tarifas!$A$3:$A$65,0),MATCH(N48,Tarifas!$B$2:$F$2,0)),0),IFERROR(INDEX(Tarifas!$B$3:$F$65,MATCH(M48,Tarifas!$A$3:$A$65,0),MATCH(N48,Tarifas!$B$2:$F$2,0)),0))=0,"",MAX(IFERROR(INDEX(Tarifas!$B$3:$F$65,MATCH(K48,Tarifas!$A$3:$A$65,0),MATCH(N48,Tarifas!$B$2:$F$2,0)),0),IFERROR(INDEX(Tarifas!$B$3:$F$65,MATCH(L48,Tarifas!$A$3:$A$65,0),MATCH(N48,Tarifas!$B$2:$F$2,0)),0),IFERROR(INDEX(Tarifas!$B$3:$F$65,MATCH(M48,Tarifas!$A$3:$A$65,0),MATCH(N48,Tarifas!$B$2:$F$2,0)),0)))),"")</f>
        <v/>
      </c>
      <c r="P48" s="27">
        <f>IF(NOT(OR(B48&lt;&gt;"",C48&lt;&gt;"",D48&lt;&gt;"",E48&lt;&gt;"",F48&lt;&gt;"",G48&lt;&gt;"",H48&lt;&gt;"",I48&lt;&gt;"",J48&lt;&gt;"",K48&lt;&gt;"",N48&lt;&gt;"")),"",IF(AND(B48&lt;&gt;"",C48&lt;&gt;"",D48&lt;&gt;"",E48&lt;&gt;"",F48&lt;&gt;"",G48&lt;&gt;"",H48&lt;&gt;"",I48&lt;&gt;"",J48&lt;&gt;"",K48&lt;&gt;"",N48&lt;&gt;""),"✓ Completo","⚠ Faltan datos"))</f>
        <v/>
      </c>
      <c r="Q48" s="24" t="n"/>
    </row>
    <row r="49" ht="21" customHeight="1">
      <c r="A49" s="13" t="n">
        <v>43</v>
      </c>
      <c r="B49" s="14" t="n"/>
      <c r="C49" s="14" t="n"/>
      <c r="D49" s="14" t="n"/>
      <c r="E49" s="14" t="n"/>
      <c r="F49" s="15" t="n"/>
      <c r="G49" s="14" t="n"/>
      <c r="H49" s="16" t="n"/>
      <c r="I49" s="17" t="n"/>
      <c r="J49" s="17" t="n"/>
      <c r="K49" s="18" t="n"/>
      <c r="L49" s="14" t="n"/>
      <c r="M49" s="14" t="n"/>
      <c r="N49" s="16" t="n"/>
      <c r="O49" s="19">
        <f>IFERROR(IF(N49="","",IF(MAX(IFERROR(INDEX(Tarifas!$B$3:$F$65,MATCH(K49,Tarifas!$A$3:$A$65,0),MATCH(N49,Tarifas!$B$2:$F$2,0)),0),IFERROR(INDEX(Tarifas!$B$3:$F$65,MATCH(L49,Tarifas!$A$3:$A$65,0),MATCH(N49,Tarifas!$B$2:$F$2,0)),0),IFERROR(INDEX(Tarifas!$B$3:$F$65,MATCH(M49,Tarifas!$A$3:$A$65,0),MATCH(N49,Tarifas!$B$2:$F$2,0)),0))=0,"",MAX(IFERROR(INDEX(Tarifas!$B$3:$F$65,MATCH(K49,Tarifas!$A$3:$A$65,0),MATCH(N49,Tarifas!$B$2:$F$2,0)),0),IFERROR(INDEX(Tarifas!$B$3:$F$65,MATCH(L49,Tarifas!$A$3:$A$65,0),MATCH(N49,Tarifas!$B$2:$F$2,0)),0),IFERROR(INDEX(Tarifas!$B$3:$F$65,MATCH(M49,Tarifas!$A$3:$A$65,0),MATCH(N49,Tarifas!$B$2:$F$2,0)),0)))),"")</f>
        <v/>
      </c>
      <c r="P49" s="20">
        <f>IF(NOT(OR(B49&lt;&gt;"",C49&lt;&gt;"",D49&lt;&gt;"",E49&lt;&gt;"",F49&lt;&gt;"",G49&lt;&gt;"",H49&lt;&gt;"",I49&lt;&gt;"",J49&lt;&gt;"",K49&lt;&gt;"",N49&lt;&gt;"")),"",IF(AND(B49&lt;&gt;"",C49&lt;&gt;"",D49&lt;&gt;"",E49&lt;&gt;"",F49&lt;&gt;"",G49&lt;&gt;"",H49&lt;&gt;"",I49&lt;&gt;"",J49&lt;&gt;"",K49&lt;&gt;"",N49&lt;&gt;""),"✓ Completo","⚠ Faltan datos"))</f>
        <v/>
      </c>
      <c r="Q49" s="16" t="n"/>
    </row>
    <row r="50" ht="21" customHeight="1">
      <c r="A50" s="21" t="n">
        <v>44</v>
      </c>
      <c r="B50" s="22" t="n"/>
      <c r="C50" s="22" t="n"/>
      <c r="D50" s="22" t="n"/>
      <c r="E50" s="22" t="n"/>
      <c r="F50" s="23" t="n"/>
      <c r="G50" s="22" t="n"/>
      <c r="H50" s="24" t="n"/>
      <c r="I50" s="25" t="n"/>
      <c r="J50" s="25" t="n"/>
      <c r="K50" s="26" t="n"/>
      <c r="L50" s="22" t="n"/>
      <c r="M50" s="22" t="n"/>
      <c r="N50" s="24" t="n"/>
      <c r="O50" s="19">
        <f>IFERROR(IF(N50="","",IF(MAX(IFERROR(INDEX(Tarifas!$B$3:$F$65,MATCH(K50,Tarifas!$A$3:$A$65,0),MATCH(N50,Tarifas!$B$2:$F$2,0)),0),IFERROR(INDEX(Tarifas!$B$3:$F$65,MATCH(L50,Tarifas!$A$3:$A$65,0),MATCH(N50,Tarifas!$B$2:$F$2,0)),0),IFERROR(INDEX(Tarifas!$B$3:$F$65,MATCH(M50,Tarifas!$A$3:$A$65,0),MATCH(N50,Tarifas!$B$2:$F$2,0)),0))=0,"",MAX(IFERROR(INDEX(Tarifas!$B$3:$F$65,MATCH(K50,Tarifas!$A$3:$A$65,0),MATCH(N50,Tarifas!$B$2:$F$2,0)),0),IFERROR(INDEX(Tarifas!$B$3:$F$65,MATCH(L50,Tarifas!$A$3:$A$65,0),MATCH(N50,Tarifas!$B$2:$F$2,0)),0),IFERROR(INDEX(Tarifas!$B$3:$F$65,MATCH(M50,Tarifas!$A$3:$A$65,0),MATCH(N50,Tarifas!$B$2:$F$2,0)),0)))),"")</f>
        <v/>
      </c>
      <c r="P50" s="27">
        <f>IF(NOT(OR(B50&lt;&gt;"",C50&lt;&gt;"",D50&lt;&gt;"",E50&lt;&gt;"",F50&lt;&gt;"",G50&lt;&gt;"",H50&lt;&gt;"",I50&lt;&gt;"",J50&lt;&gt;"",K50&lt;&gt;"",N50&lt;&gt;"")),"",IF(AND(B50&lt;&gt;"",C50&lt;&gt;"",D50&lt;&gt;"",E50&lt;&gt;"",F50&lt;&gt;"",G50&lt;&gt;"",H50&lt;&gt;"",I50&lt;&gt;"",J50&lt;&gt;"",K50&lt;&gt;"",N50&lt;&gt;""),"✓ Completo","⚠ Faltan datos"))</f>
        <v/>
      </c>
      <c r="Q50" s="24" t="n"/>
    </row>
    <row r="51" ht="21" customHeight="1">
      <c r="A51" s="13" t="n">
        <v>45</v>
      </c>
      <c r="B51" s="14" t="n"/>
      <c r="C51" s="14" t="n"/>
      <c r="D51" s="14" t="n"/>
      <c r="E51" s="14" t="n"/>
      <c r="F51" s="15" t="n"/>
      <c r="G51" s="14" t="n"/>
      <c r="H51" s="16" t="n"/>
      <c r="I51" s="17" t="n"/>
      <c r="J51" s="17" t="n"/>
      <c r="K51" s="18" t="n"/>
      <c r="L51" s="14" t="n"/>
      <c r="M51" s="14" t="n"/>
      <c r="N51" s="16" t="n"/>
      <c r="O51" s="19">
        <f>IFERROR(IF(N51="","",IF(MAX(IFERROR(INDEX(Tarifas!$B$3:$F$65,MATCH(K51,Tarifas!$A$3:$A$65,0),MATCH(N51,Tarifas!$B$2:$F$2,0)),0),IFERROR(INDEX(Tarifas!$B$3:$F$65,MATCH(L51,Tarifas!$A$3:$A$65,0),MATCH(N51,Tarifas!$B$2:$F$2,0)),0),IFERROR(INDEX(Tarifas!$B$3:$F$65,MATCH(M51,Tarifas!$A$3:$A$65,0),MATCH(N51,Tarifas!$B$2:$F$2,0)),0))=0,"",MAX(IFERROR(INDEX(Tarifas!$B$3:$F$65,MATCH(K51,Tarifas!$A$3:$A$65,0),MATCH(N51,Tarifas!$B$2:$F$2,0)),0),IFERROR(INDEX(Tarifas!$B$3:$F$65,MATCH(L51,Tarifas!$A$3:$A$65,0),MATCH(N51,Tarifas!$B$2:$F$2,0)),0),IFERROR(INDEX(Tarifas!$B$3:$F$65,MATCH(M51,Tarifas!$A$3:$A$65,0),MATCH(N51,Tarifas!$B$2:$F$2,0)),0)))),"")</f>
        <v/>
      </c>
      <c r="P51" s="20">
        <f>IF(NOT(OR(B51&lt;&gt;"",C51&lt;&gt;"",D51&lt;&gt;"",E51&lt;&gt;"",F51&lt;&gt;"",G51&lt;&gt;"",H51&lt;&gt;"",I51&lt;&gt;"",J51&lt;&gt;"",K51&lt;&gt;"",N51&lt;&gt;"")),"",IF(AND(B51&lt;&gt;"",C51&lt;&gt;"",D51&lt;&gt;"",E51&lt;&gt;"",F51&lt;&gt;"",G51&lt;&gt;"",H51&lt;&gt;"",I51&lt;&gt;"",J51&lt;&gt;"",K51&lt;&gt;"",N51&lt;&gt;""),"✓ Completo","⚠ Faltan datos"))</f>
        <v/>
      </c>
      <c r="Q51" s="16" t="n"/>
    </row>
    <row r="52" ht="21" customHeight="1">
      <c r="A52" s="21" t="n">
        <v>46</v>
      </c>
      <c r="B52" s="22" t="n"/>
      <c r="C52" s="22" t="n"/>
      <c r="D52" s="22" t="n"/>
      <c r="E52" s="22" t="n"/>
      <c r="F52" s="23" t="n"/>
      <c r="G52" s="22" t="n"/>
      <c r="H52" s="24" t="n"/>
      <c r="I52" s="25" t="n"/>
      <c r="J52" s="25" t="n"/>
      <c r="K52" s="26" t="n"/>
      <c r="L52" s="22" t="n"/>
      <c r="M52" s="22" t="n"/>
      <c r="N52" s="24" t="n"/>
      <c r="O52" s="19">
        <f>IFERROR(IF(N52="","",IF(MAX(IFERROR(INDEX(Tarifas!$B$3:$F$65,MATCH(K52,Tarifas!$A$3:$A$65,0),MATCH(N52,Tarifas!$B$2:$F$2,0)),0),IFERROR(INDEX(Tarifas!$B$3:$F$65,MATCH(L52,Tarifas!$A$3:$A$65,0),MATCH(N52,Tarifas!$B$2:$F$2,0)),0),IFERROR(INDEX(Tarifas!$B$3:$F$65,MATCH(M52,Tarifas!$A$3:$A$65,0),MATCH(N52,Tarifas!$B$2:$F$2,0)),0))=0,"",MAX(IFERROR(INDEX(Tarifas!$B$3:$F$65,MATCH(K52,Tarifas!$A$3:$A$65,0),MATCH(N52,Tarifas!$B$2:$F$2,0)),0),IFERROR(INDEX(Tarifas!$B$3:$F$65,MATCH(L52,Tarifas!$A$3:$A$65,0),MATCH(N52,Tarifas!$B$2:$F$2,0)),0),IFERROR(INDEX(Tarifas!$B$3:$F$65,MATCH(M52,Tarifas!$A$3:$A$65,0),MATCH(N52,Tarifas!$B$2:$F$2,0)),0)))),"")</f>
        <v/>
      </c>
      <c r="P52" s="27">
        <f>IF(NOT(OR(B52&lt;&gt;"",C52&lt;&gt;"",D52&lt;&gt;"",E52&lt;&gt;"",F52&lt;&gt;"",G52&lt;&gt;"",H52&lt;&gt;"",I52&lt;&gt;"",J52&lt;&gt;"",K52&lt;&gt;"",N52&lt;&gt;"")),"",IF(AND(B52&lt;&gt;"",C52&lt;&gt;"",D52&lt;&gt;"",E52&lt;&gt;"",F52&lt;&gt;"",G52&lt;&gt;"",H52&lt;&gt;"",I52&lt;&gt;"",J52&lt;&gt;"",K52&lt;&gt;"",N52&lt;&gt;""),"✓ Completo","⚠ Faltan datos"))</f>
        <v/>
      </c>
      <c r="Q52" s="24" t="n"/>
    </row>
    <row r="53" ht="21" customHeight="1">
      <c r="A53" s="13" t="n">
        <v>47</v>
      </c>
      <c r="B53" s="14" t="n"/>
      <c r="C53" s="14" t="n"/>
      <c r="D53" s="14" t="n"/>
      <c r="E53" s="14" t="n"/>
      <c r="F53" s="15" t="n"/>
      <c r="G53" s="14" t="n"/>
      <c r="H53" s="16" t="n"/>
      <c r="I53" s="17" t="n"/>
      <c r="J53" s="17" t="n"/>
      <c r="K53" s="18" t="n"/>
      <c r="L53" s="14" t="n"/>
      <c r="M53" s="14" t="n"/>
      <c r="N53" s="16" t="n"/>
      <c r="O53" s="19">
        <f>IFERROR(IF(N53="","",IF(MAX(IFERROR(INDEX(Tarifas!$B$3:$F$65,MATCH(K53,Tarifas!$A$3:$A$65,0),MATCH(N53,Tarifas!$B$2:$F$2,0)),0),IFERROR(INDEX(Tarifas!$B$3:$F$65,MATCH(L53,Tarifas!$A$3:$A$65,0),MATCH(N53,Tarifas!$B$2:$F$2,0)),0),IFERROR(INDEX(Tarifas!$B$3:$F$65,MATCH(M53,Tarifas!$A$3:$A$65,0),MATCH(N53,Tarifas!$B$2:$F$2,0)),0))=0,"",MAX(IFERROR(INDEX(Tarifas!$B$3:$F$65,MATCH(K53,Tarifas!$A$3:$A$65,0),MATCH(N53,Tarifas!$B$2:$F$2,0)),0),IFERROR(INDEX(Tarifas!$B$3:$F$65,MATCH(L53,Tarifas!$A$3:$A$65,0),MATCH(N53,Tarifas!$B$2:$F$2,0)),0),IFERROR(INDEX(Tarifas!$B$3:$F$65,MATCH(M53,Tarifas!$A$3:$A$65,0),MATCH(N53,Tarifas!$B$2:$F$2,0)),0)))),"")</f>
        <v/>
      </c>
      <c r="P53" s="20">
        <f>IF(NOT(OR(B53&lt;&gt;"",C53&lt;&gt;"",D53&lt;&gt;"",E53&lt;&gt;"",F53&lt;&gt;"",G53&lt;&gt;"",H53&lt;&gt;"",I53&lt;&gt;"",J53&lt;&gt;"",K53&lt;&gt;"",N53&lt;&gt;"")),"",IF(AND(B53&lt;&gt;"",C53&lt;&gt;"",D53&lt;&gt;"",E53&lt;&gt;"",F53&lt;&gt;"",G53&lt;&gt;"",H53&lt;&gt;"",I53&lt;&gt;"",J53&lt;&gt;"",K53&lt;&gt;"",N53&lt;&gt;""),"✓ Completo","⚠ Faltan datos"))</f>
        <v/>
      </c>
      <c r="Q53" s="16" t="n"/>
    </row>
    <row r="55" ht="30" customHeight="1">
      <c r="A55" s="28" t="inlineStr">
        <is>
          <t>RESUMEN</t>
        </is>
      </c>
      <c r="B55" s="29" t="n"/>
      <c r="C55" s="29" t="n"/>
      <c r="D55" s="29" t="n"/>
      <c r="E55" s="29" t="n"/>
      <c r="F55" s="29" t="n"/>
      <c r="G55" s="29" t="n"/>
      <c r="H55" s="29" t="n"/>
      <c r="I55" s="29" t="n"/>
      <c r="J55" s="29" t="n"/>
      <c r="K55" s="30" t="inlineStr">
        <is>
          <t>Pacientes asegurados:</t>
        </is>
      </c>
      <c r="L55" s="31">
        <f>COUNTA(C7:C53)</f>
        <v/>
      </c>
      <c r="M55" s="32" t="inlineStr">
        <is>
          <t>PRIMA TOTAL:</t>
        </is>
      </c>
      <c r="N55" s="29" t="n"/>
      <c r="O55" s="33">
        <f>SUM(O7:O53)</f>
        <v/>
      </c>
      <c r="P55" s="34">
        <f>COUNTIF(P7:P53,"✓ Completo")&amp;" OK"</f>
        <v/>
      </c>
      <c r="Q55" s="34">
        <f>COUNTA(Q7:Q53)&amp;" con póliza"</f>
        <v/>
      </c>
    </row>
    <row r="57" ht="19.95" customHeight="1">
      <c r="A57" s="35" t="inlineStr">
        <is>
          <r>
            <rPr>
              <rFont val="Calibri"/>
              <b val="1"/>
              <color rgb="FF9A6A00"/>
              <sz val="9"/>
            </rPr>
            <t>⚠ El Nº de póliza lo asigna medassure: cuando una fila tiene póliza, el paciente queda marcado en verde.</t>
          </r>
        </is>
      </c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</row>
    <row r="58" ht="34.05" customHeight="1">
      <c r="A58" s="37" t="inlineStr">
        <is>
          <t>Nota — Hasta 3 tratamientos sin recargo — la prima corresponde al tratamiento de mayor importe según la duración elegida.   ·   «✓ Completo» requiere todos los campos marcados con * (tratamientos 2–3 opcionales).   ·   Comunique cualquier complicación en ≤ 7 días a siniestros@iberassekuranz.es (Tel. 91 781 56 32).   ·   Las altas de noviembre se pueden enviar hasta el 5 de diciembre.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0" formatCells="0" formatRows="0" sort="0"/>
  <mergeCells count="10">
    <mergeCell ref="A58:Q58"/>
    <mergeCell ref="A3:Q3"/>
    <mergeCell ref="M55:N55"/>
    <mergeCell ref="A4:Q4"/>
    <mergeCell ref="A57:Q57"/>
    <mergeCell ref="A2:Q2"/>
    <mergeCell ref="A55:J55"/>
    <mergeCell ref="C5:J5"/>
    <mergeCell ref="K5:O5"/>
    <mergeCell ref="A1:Q1"/>
  </mergeCells>
  <conditionalFormatting sqref="B7:K53 N7:N53">
    <cfRule type="expression" priority="1" dxfId="0">
      <formula>AND(OR($B7&lt;&gt;"",$C7&lt;&gt;"",$D7&lt;&gt;"",$E7&lt;&gt;"",$F7&lt;&gt;"",$G7&lt;&gt;"",$H7&lt;&gt;"",$I7&lt;&gt;"",$J7&lt;&gt;"",$K7&lt;&gt;"",$N7&lt;&gt;""),B7="")</formula>
    </cfRule>
  </conditionalFormatting>
  <conditionalFormatting sqref="C7:D53">
    <cfRule type="expression" priority="2" dxfId="1">
      <formula>$Q7&lt;&gt;""</formula>
    </cfRule>
  </conditionalFormatting>
  <conditionalFormatting sqref="Q7:Q53">
    <cfRule type="expression" priority="3" dxfId="2">
      <formula>$Q7&lt;&gt;""</formula>
    </cfRule>
  </conditionalFormatting>
  <conditionalFormatting sqref="P7:P53">
    <cfRule type="containsText" priority="4" operator="containsText" dxfId="3" text="Completo">
      <formula>NOT(ISERROR(SEARCH("Completo",P7)))</formula>
    </cfRule>
    <cfRule type="containsText" priority="5" operator="containsText" dxfId="4" text="Faltan">
      <formula>NOT(ISERROR(SEARCH("Faltan",P7)))</formula>
    </cfRule>
  </conditionalFormatting>
  <dataValidations count="7">
    <dataValidation sqref="B7:B53" showDropDown="0" showInputMessage="1" showErrorMessage="0" allowBlank="1" promptTitle="Cirujano/a" prompt="Elija el cirujano/a de la lista desplegable ▼" type="list">
      <formula1>"Dra. Nazaret Ruiz López,Dr. Roberto Miranda López"</formula1>
    </dataValidation>
    <dataValidation sqref="E7:E53" showDropDown="0" showInputMessage="1" showErrorMessage="0" allowBlank="1" promptTitle="Dirección" prompt="Escriba calle y número. Ej.: C. Balmes 12, 3º 2ª" type="textLength" operator="greaterThan">
      <formula1>0</formula1>
    </dataValidation>
    <dataValidation sqref="I7:I53" showDropDown="0" showInputMessage="1" showErrorMessage="0" allowBlank="1" promptTitle="Fecha" prompt="Fecha de nacimiento (dd.mm.aaaa)"/>
    <dataValidation sqref="J7:J53" showDropDown="0" showInputMessage="1" showErrorMessage="0" allowBlank="1" promptTitle="Fecha" prompt="Fecha de operación (dd.mm.aaaa)"/>
    <dataValidation sqref="K7:K53" showDropDown="0" showInputMessage="1" showErrorMessage="0" allowBlank="1" promptTitle="Tratamiento" prompt="Elija un tratamiento de la lista desplegable ▼" type="list">
      <formula1>Tratamientos</formula1>
    </dataValidation>
    <dataValidation sqref="L7:M53" showDropDown="0" showInputMessage="0" showErrorMessage="0" allowBlank="1" promptTitle="Tratamiento" prompt="Elija un tratamiento de la lista desplegable ▼" type="list">
      <formula1>Tratamientos</formula1>
    </dataValidation>
    <dataValidation sqref="N7:N53" showDropDown="0" showInputMessage="1" showErrorMessage="0" allowBlank="1" promptTitle="Duración" prompt="Elija la duración: de 1 a 5 años" type="list">
      <formula1>Duraciones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D4941A"/>
    <outlinePr summaryBelow="1" summaryRight="1"/>
    <pageSetUpPr/>
  </sheetPr>
  <dimension ref="A1:Q58"/>
  <sheetViews>
    <sheetView showGridLines="0" tabSelected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16" customWidth="1" min="4" max="4"/>
    <col width="32" customWidth="1" min="5" max="5"/>
    <col width="14" customWidth="1" min="6" max="6"/>
    <col width="16" customWidth="1" min="7" max="7"/>
    <col width="11" customWidth="1" min="8" max="8"/>
    <col width="14" customWidth="1" min="9" max="9"/>
    <col width="14" customWidth="1" min="10" max="10"/>
    <col width="34" customWidth="1" min="11" max="11"/>
    <col width="24" customWidth="1" min="12" max="12"/>
    <col width="24" customWidth="1" min="13" max="13"/>
    <col width="11" customWidth="1" min="14" max="14"/>
    <col width="14" customWidth="1" min="15" max="15"/>
    <col width="15" customWidth="1" min="16" max="16"/>
    <col width="16" customWidth="1" min="17" max="17"/>
  </cols>
  <sheetData>
    <row r="1" ht="46.05" customHeight="1">
      <c r="A1" s="1" t="inlineStr">
        <is>
          <r>
            <rPr>
              <rFont val="Calibri"/>
              <b val="1"/>
              <color rgb="FFFFFFFF"/>
              <sz val="22"/>
            </rPr>
            <t xml:space="preserve">     medassure beauty</t>
          </r>
          <r>
            <rPr>
              <rFont val="Calibri"/>
              <color rgb="FFEFD6A8"/>
              <sz val="13"/>
            </rPr>
            <t xml:space="preserve">      Seguro de cirugía estética</t>
          </r>
          <r>
            <rPr>
              <rFont val="Calibri"/>
              <color rgb="FFEFD6A8"/>
              <sz val="13"/>
            </rPr>
            <t xml:space="preserve">   ·   </t>
          </r>
          <r>
            <rPr>
              <rFont val="Calibri"/>
              <b val="1"/>
              <color rgb="FFFFFFFF"/>
              <sz val="13"/>
            </rPr>
            <t>Diciembre</t>
          </r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9.95" customHeight="1">
      <c r="A2" s="3" t="inlineStr">
        <is>
          <r>
            <rPr>
              <rFont val="Calibri"/>
              <b val="1"/>
              <color rgb="FF7A5208"/>
              <sz val="10"/>
            </rPr>
            <t>Seleccione los tratamientos y la duración utilizando las pestañas desplegables (▼). La prima se calculará automáticamente en función del tratamiento de mayor importe seleccionado.</t>
          </r>
          <r>
            <rPr>
              <rFont val="Calibri"/>
              <i val="1"/>
              <color rgb="FF14202E"/>
              <sz val="10"/>
            </rPr>
            <t xml:space="preserve">      Para dudas relacionadas con las altas de los pacientes: </t>
          </r>
          <r>
            <rPr>
              <rFont val="Calibri"/>
              <b val="1"/>
              <color rgb="FF7A5208"/>
              <sz val="10"/>
            </rPr>
            <t>info@medassure.es</t>
          </r>
          <r>
            <rPr>
              <rFont val="Calibri"/>
              <i val="1"/>
              <color rgb="FF14202E"/>
              <sz val="10"/>
            </rPr>
            <t xml:space="preserve">  ·  WhatsApp </t>
          </r>
          <r>
            <rPr>
              <rFont val="Calibri"/>
              <b val="1"/>
              <color rgb="FF7A5208"/>
              <sz val="10"/>
            </rPr>
            <t>672 69 68 21</t>
          </r>
        </is>
      </c>
    </row>
    <row r="3" ht="24" customHeight="1">
      <c r="A3" s="4" t="inlineStr">
        <is>
          <r>
            <rPr>
              <rFont val="Calibri"/>
              <b val="1"/>
              <color rgb="FF98A2B0"/>
              <sz val="9"/>
            </rPr>
            <t xml:space="preserve">PLAZO  </t>
          </r>
          <r>
            <rPr>
              <rFont val="Calibri"/>
              <color rgb="FF14202E"/>
              <sz val="10"/>
            </rPr>
            <t xml:space="preserve">Las altas de diciembre se pueden enviar </t>
          </r>
          <r>
            <rPr>
              <rFont val="Calibri"/>
              <b val="1"/>
              <color rgb="FF7A5208"/>
              <sz val="10"/>
            </rPr>
            <t>hasta el 5 de enero</t>
          </r>
          <r>
            <rPr>
              <rFont val="Calibri"/>
              <b val="1"/>
              <color rgb="FF98A2B0"/>
              <sz val="9"/>
            </rPr>
            <t xml:space="preserve">        CONDICIONES  </t>
          </r>
          <r>
            <rPr>
              <rFont val="Calibri"/>
              <color rgb="FF14202E"/>
              <sz val="10"/>
            </rPr>
            <t xml:space="preserve">Duración: </t>
          </r>
          <r>
            <rPr>
              <rFont val="Calibri"/>
              <b val="1"/>
              <color rgb="FF14202E"/>
              <sz val="10"/>
            </rPr>
            <t>1 año</t>
          </r>
          <r>
            <rPr>
              <rFont val="Calibri"/>
              <color rgb="FF98A2B0"/>
              <sz val="10"/>
            </rPr>
            <t xml:space="preserve">  →  </t>
          </r>
          <r>
            <rPr>
              <rFont val="Calibri"/>
              <b val="1"/>
              <color rgb="FF7A5208"/>
              <sz val="10"/>
            </rPr>
            <t>5 años</t>
          </r>
          <r>
            <rPr>
              <rFont val="Calibri"/>
              <color rgb="FF14202E"/>
              <sz val="10"/>
            </rPr>
            <t xml:space="preserve">        Hasta </t>
          </r>
          <r>
            <rPr>
              <rFont val="Calibri"/>
              <b val="1"/>
              <color rgb="FF14202E"/>
              <sz val="10"/>
            </rPr>
            <t>3 tratamientos</t>
          </r>
          <r>
            <rPr>
              <rFont val="Calibri"/>
              <color rgb="FF14202E"/>
              <sz val="10"/>
            </rPr>
            <t xml:space="preserve"> por paciente</t>
          </r>
          <r>
            <rPr>
              <rFont val="Calibri"/>
              <i val="1"/>
              <color rgb="FF98A2B0"/>
              <sz val="9"/>
            </rPr>
            <t xml:space="preserve">  (la prima corresponde al tratamiento de mayor importe)</t>
          </r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</row>
    <row r="4" ht="19.95" customHeight="1">
      <c r="A4" s="6" t="inlineStr">
        <is>
          <r>
            <rPr>
              <rFont val="Calibri"/>
              <family val="2"/>
              <b val="1"/>
              <color rgb="FF9A2A2A"/>
              <sz val="10"/>
            </rPr>
            <t xml:space="preserve">⚠  IMPORTANTE  </t>
          </r>
          <r>
            <rPr>
              <rFont val="Calibri"/>
              <family val="2"/>
              <color rgb="FF9A2A2A"/>
              <sz val="10"/>
            </rPr>
            <t xml:space="preserve">Comunique cualquier complicación en un plazo máximo de </t>
          </r>
          <r>
            <rPr>
              <rFont val="Calibri"/>
              <family val="2"/>
              <b val="1"/>
              <color rgb="FF9A2A2A"/>
              <sz val="10"/>
            </rPr>
            <t>7 días</t>
          </r>
          <r>
            <rPr>
              <rFont val="Calibri"/>
              <family val="2"/>
              <color rgb="FF9A2A2A"/>
              <sz val="10"/>
            </rPr>
            <t xml:space="preserve"> a  </t>
          </r>
          <r>
            <rPr>
              <rFont val="Calibri"/>
              <family val="2"/>
              <b val="1"/>
              <color rgb="FF9A2A2A"/>
              <sz val="10"/>
            </rPr>
            <t>siniestros@iberassekuranz.es</t>
          </r>
          <r>
            <rPr>
              <rFont val="Calibri"/>
              <family val="2"/>
              <color rgb="FF9A2A2A"/>
              <sz val="10"/>
            </rPr>
            <t xml:space="preserve">   ·   Tel. </t>
          </r>
          <r>
            <rPr>
              <rFont val="Calibri"/>
              <family val="2"/>
              <b val="1"/>
              <color rgb="FF9A2A2A"/>
              <sz val="10"/>
            </rPr>
            <t>91 781 56 32</t>
          </r>
          <r>
            <rPr>
              <rFont val="Calibri"/>
              <family val="2"/>
              <color rgb="FF9A2A2A"/>
              <sz val="10"/>
            </rPr>
            <t>.</t>
          </r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</row>
    <row r="5" ht="16.95" customHeight="1">
      <c r="A5" s="8" t="n"/>
      <c r="B5" s="9" t="inlineStr">
        <is>
          <t>MÉDICO</t>
        </is>
      </c>
      <c r="C5" s="9" t="inlineStr">
        <is>
          <t>DATOS DEL PACIENTE</t>
        </is>
      </c>
      <c r="D5" s="9" t="n"/>
      <c r="E5" s="9" t="n"/>
      <c r="F5" s="9" t="n"/>
      <c r="G5" s="9" t="n"/>
      <c r="H5" s="9" t="n"/>
      <c r="I5" s="9" t="n"/>
      <c r="J5" s="9" t="n"/>
      <c r="K5" s="9" t="inlineStr">
        <is>
          <t>DATOS DE LA PÓLIZA</t>
        </is>
      </c>
      <c r="L5" s="9" t="n"/>
      <c r="M5" s="9" t="n"/>
      <c r="N5" s="9" t="n"/>
      <c r="O5" s="9" t="n"/>
      <c r="P5" s="9" t="inlineStr">
        <is>
          <t>ESTADO</t>
        </is>
      </c>
      <c r="Q5" s="9" t="inlineStr">
        <is>
          <t>PÓLIZA</t>
        </is>
      </c>
    </row>
    <row r="6" ht="30" customHeight="1">
      <c r="A6" s="10" t="inlineStr">
        <is>
          <t>Nº</t>
        </is>
      </c>
      <c r="B6" s="11" t="inlineStr">
        <is>
          <t>Cirujano/a *</t>
        </is>
      </c>
      <c r="C6" s="11" t="inlineStr">
        <is>
          <t>Nombre *</t>
        </is>
      </c>
      <c r="D6" s="11" t="inlineStr">
        <is>
          <t>Apellidos *</t>
        </is>
      </c>
      <c r="E6" s="11" t="inlineStr">
        <is>
          <t>Dirección *</t>
        </is>
      </c>
      <c r="F6" s="12" t="inlineStr">
        <is>
          <t>Código postal *</t>
        </is>
      </c>
      <c r="G6" s="11" t="inlineStr">
        <is>
          <t>Localidad *</t>
        </is>
      </c>
      <c r="H6" s="12" t="inlineStr">
        <is>
          <t>País *</t>
        </is>
      </c>
      <c r="I6" s="12" t="inlineStr">
        <is>
          <t>Fecha de nacimiento *</t>
        </is>
      </c>
      <c r="J6" s="12" t="inlineStr">
        <is>
          <t>Fecha de operación *</t>
        </is>
      </c>
      <c r="K6" s="11" t="inlineStr">
        <is>
          <t>Tratamiento 1 *</t>
        </is>
      </c>
      <c r="L6" s="11" t="inlineStr">
        <is>
          <t>Tratamiento 2 (opc.)</t>
        </is>
      </c>
      <c r="M6" s="11" t="inlineStr">
        <is>
          <t>Tratamiento 3 (opc.)</t>
        </is>
      </c>
      <c r="N6" s="12" t="inlineStr">
        <is>
          <t>Duración *</t>
        </is>
      </c>
      <c r="O6" s="12" t="inlineStr">
        <is>
          <t>Prima</t>
        </is>
      </c>
      <c r="P6" s="12" t="inlineStr">
        <is>
          <t>Estado</t>
        </is>
      </c>
      <c r="Q6" s="12" t="inlineStr">
        <is>
          <t>Nº Póliza</t>
        </is>
      </c>
    </row>
    <row r="7" ht="21" customHeight="1">
      <c r="A7" s="13" t="n">
        <v>1</v>
      </c>
      <c r="B7" s="14" t="n"/>
      <c r="C7" s="14" t="n"/>
      <c r="D7" s="14" t="n"/>
      <c r="E7" s="14" t="n"/>
      <c r="F7" s="15" t="n"/>
      <c r="G7" s="14" t="n"/>
      <c r="H7" s="16" t="n"/>
      <c r="I7" s="17" t="n"/>
      <c r="J7" s="17" t="n"/>
      <c r="K7" s="18" t="n"/>
      <c r="L7" s="14" t="n"/>
      <c r="M7" s="14" t="n"/>
      <c r="N7" s="16" t="n"/>
      <c r="O7" s="19">
        <f>IFERROR(IF(N7="","",IF(MAX(IFERROR(INDEX(Tarifas!$B$3:$F$65,MATCH(K7,Tarifas!$A$3:$A$65,0),MATCH(N7,Tarifas!$B$2:$F$2,0)),0),IFERROR(INDEX(Tarifas!$B$3:$F$65,MATCH(L7,Tarifas!$A$3:$A$65,0),MATCH(N7,Tarifas!$B$2:$F$2,0)),0),IFERROR(INDEX(Tarifas!$B$3:$F$65,MATCH(M7,Tarifas!$A$3:$A$65,0),MATCH(N7,Tarifas!$B$2:$F$2,0)),0))=0,"",MAX(IFERROR(INDEX(Tarifas!$B$3:$F$65,MATCH(K7,Tarifas!$A$3:$A$65,0),MATCH(N7,Tarifas!$B$2:$F$2,0)),0),IFERROR(INDEX(Tarifas!$B$3:$F$65,MATCH(L7,Tarifas!$A$3:$A$65,0),MATCH(N7,Tarifas!$B$2:$F$2,0)),0),IFERROR(INDEX(Tarifas!$B$3:$F$65,MATCH(M7,Tarifas!$A$3:$A$65,0),MATCH(N7,Tarifas!$B$2:$F$2,0)),0)))),"")</f>
        <v/>
      </c>
      <c r="P7" s="20">
        <f>IF(NOT(OR(B7&lt;&gt;"",C7&lt;&gt;"",D7&lt;&gt;"",E7&lt;&gt;"",F7&lt;&gt;"",G7&lt;&gt;"",H7&lt;&gt;"",I7&lt;&gt;"",J7&lt;&gt;"",K7&lt;&gt;"",N7&lt;&gt;"")),"",IF(AND(B7&lt;&gt;"",C7&lt;&gt;"",D7&lt;&gt;"",E7&lt;&gt;"",F7&lt;&gt;"",G7&lt;&gt;"",H7&lt;&gt;"",I7&lt;&gt;"",J7&lt;&gt;"",K7&lt;&gt;"",N7&lt;&gt;""),"✓ Completo","⚠ Faltan datos"))</f>
        <v/>
      </c>
      <c r="Q7" s="16" t="n"/>
    </row>
    <row r="8" ht="21" customHeight="1">
      <c r="A8" s="21" t="n">
        <v>2</v>
      </c>
      <c r="B8" s="22" t="n"/>
      <c r="C8" s="22" t="n"/>
      <c r="D8" s="22" t="n"/>
      <c r="E8" s="22" t="n"/>
      <c r="F8" s="23" t="n"/>
      <c r="G8" s="22" t="n"/>
      <c r="H8" s="24" t="n"/>
      <c r="I8" s="25" t="n"/>
      <c r="J8" s="25" t="n"/>
      <c r="K8" s="26" t="n"/>
      <c r="L8" s="22" t="n"/>
      <c r="M8" s="22" t="n"/>
      <c r="N8" s="24" t="n"/>
      <c r="O8" s="19">
        <f>IFERROR(IF(N8="","",IF(MAX(IFERROR(INDEX(Tarifas!$B$3:$F$65,MATCH(K8,Tarifas!$A$3:$A$65,0),MATCH(N8,Tarifas!$B$2:$F$2,0)),0),IFERROR(INDEX(Tarifas!$B$3:$F$65,MATCH(L8,Tarifas!$A$3:$A$65,0),MATCH(N8,Tarifas!$B$2:$F$2,0)),0),IFERROR(INDEX(Tarifas!$B$3:$F$65,MATCH(M8,Tarifas!$A$3:$A$65,0),MATCH(N8,Tarifas!$B$2:$F$2,0)),0))=0,"",MAX(IFERROR(INDEX(Tarifas!$B$3:$F$65,MATCH(K8,Tarifas!$A$3:$A$65,0),MATCH(N8,Tarifas!$B$2:$F$2,0)),0),IFERROR(INDEX(Tarifas!$B$3:$F$65,MATCH(L8,Tarifas!$A$3:$A$65,0),MATCH(N8,Tarifas!$B$2:$F$2,0)),0),IFERROR(INDEX(Tarifas!$B$3:$F$65,MATCH(M8,Tarifas!$A$3:$A$65,0),MATCH(N8,Tarifas!$B$2:$F$2,0)),0)))),"")</f>
        <v/>
      </c>
      <c r="P8" s="27">
        <f>IF(NOT(OR(B8&lt;&gt;"",C8&lt;&gt;"",D8&lt;&gt;"",E8&lt;&gt;"",F8&lt;&gt;"",G8&lt;&gt;"",H8&lt;&gt;"",I8&lt;&gt;"",J8&lt;&gt;"",K8&lt;&gt;"",N8&lt;&gt;"")),"",IF(AND(B8&lt;&gt;"",C8&lt;&gt;"",D8&lt;&gt;"",E8&lt;&gt;"",F8&lt;&gt;"",G8&lt;&gt;"",H8&lt;&gt;"",I8&lt;&gt;"",J8&lt;&gt;"",K8&lt;&gt;"",N8&lt;&gt;""),"✓ Completo","⚠ Faltan datos"))</f>
        <v/>
      </c>
      <c r="Q8" s="24" t="n"/>
    </row>
    <row r="9" ht="21" customHeight="1">
      <c r="A9" s="13" t="n">
        <v>3</v>
      </c>
      <c r="B9" s="14" t="n"/>
      <c r="C9" s="14" t="n"/>
      <c r="D9" s="14" t="n"/>
      <c r="E9" s="14" t="n"/>
      <c r="F9" s="15" t="n"/>
      <c r="G9" s="14" t="n"/>
      <c r="H9" s="16" t="n"/>
      <c r="I9" s="17" t="n"/>
      <c r="J9" s="17" t="n"/>
      <c r="K9" s="18" t="n"/>
      <c r="L9" s="14" t="n"/>
      <c r="M9" s="14" t="n"/>
      <c r="N9" s="16" t="n"/>
      <c r="O9" s="19">
        <f>IFERROR(IF(N9="","",IF(MAX(IFERROR(INDEX(Tarifas!$B$3:$F$65,MATCH(K9,Tarifas!$A$3:$A$65,0),MATCH(N9,Tarifas!$B$2:$F$2,0)),0),IFERROR(INDEX(Tarifas!$B$3:$F$65,MATCH(L9,Tarifas!$A$3:$A$65,0),MATCH(N9,Tarifas!$B$2:$F$2,0)),0),IFERROR(INDEX(Tarifas!$B$3:$F$65,MATCH(M9,Tarifas!$A$3:$A$65,0),MATCH(N9,Tarifas!$B$2:$F$2,0)),0))=0,"",MAX(IFERROR(INDEX(Tarifas!$B$3:$F$65,MATCH(K9,Tarifas!$A$3:$A$65,0),MATCH(N9,Tarifas!$B$2:$F$2,0)),0),IFERROR(INDEX(Tarifas!$B$3:$F$65,MATCH(L9,Tarifas!$A$3:$A$65,0),MATCH(N9,Tarifas!$B$2:$F$2,0)),0),IFERROR(INDEX(Tarifas!$B$3:$F$65,MATCH(M9,Tarifas!$A$3:$A$65,0),MATCH(N9,Tarifas!$B$2:$F$2,0)),0)))),"")</f>
        <v/>
      </c>
      <c r="P9" s="20">
        <f>IF(NOT(OR(B9&lt;&gt;"",C9&lt;&gt;"",D9&lt;&gt;"",E9&lt;&gt;"",F9&lt;&gt;"",G9&lt;&gt;"",H9&lt;&gt;"",I9&lt;&gt;"",J9&lt;&gt;"",K9&lt;&gt;"",N9&lt;&gt;"")),"",IF(AND(B9&lt;&gt;"",C9&lt;&gt;"",D9&lt;&gt;"",E9&lt;&gt;"",F9&lt;&gt;"",G9&lt;&gt;"",H9&lt;&gt;"",I9&lt;&gt;"",J9&lt;&gt;"",K9&lt;&gt;"",N9&lt;&gt;""),"✓ Completo","⚠ Faltan datos"))</f>
        <v/>
      </c>
      <c r="Q9" s="16" t="n"/>
    </row>
    <row r="10" ht="21" customHeight="1">
      <c r="A10" s="21" t="n">
        <v>4</v>
      </c>
      <c r="B10" s="22" t="n"/>
      <c r="C10" s="22" t="n"/>
      <c r="D10" s="22" t="n"/>
      <c r="E10" s="22" t="n"/>
      <c r="F10" s="23" t="n"/>
      <c r="G10" s="22" t="n"/>
      <c r="H10" s="24" t="n"/>
      <c r="I10" s="25" t="n"/>
      <c r="J10" s="25" t="n"/>
      <c r="K10" s="26" t="n"/>
      <c r="L10" s="22" t="n"/>
      <c r="M10" s="22" t="n"/>
      <c r="N10" s="24" t="n"/>
      <c r="O10" s="19">
        <f>IFERROR(IF(N10="","",IF(MAX(IFERROR(INDEX(Tarifas!$B$3:$F$65,MATCH(K10,Tarifas!$A$3:$A$65,0),MATCH(N10,Tarifas!$B$2:$F$2,0)),0),IFERROR(INDEX(Tarifas!$B$3:$F$65,MATCH(L10,Tarifas!$A$3:$A$65,0),MATCH(N10,Tarifas!$B$2:$F$2,0)),0),IFERROR(INDEX(Tarifas!$B$3:$F$65,MATCH(M10,Tarifas!$A$3:$A$65,0),MATCH(N10,Tarifas!$B$2:$F$2,0)),0))=0,"",MAX(IFERROR(INDEX(Tarifas!$B$3:$F$65,MATCH(K10,Tarifas!$A$3:$A$65,0),MATCH(N10,Tarifas!$B$2:$F$2,0)),0),IFERROR(INDEX(Tarifas!$B$3:$F$65,MATCH(L10,Tarifas!$A$3:$A$65,0),MATCH(N10,Tarifas!$B$2:$F$2,0)),0),IFERROR(INDEX(Tarifas!$B$3:$F$65,MATCH(M10,Tarifas!$A$3:$A$65,0),MATCH(N10,Tarifas!$B$2:$F$2,0)),0)))),"")</f>
        <v/>
      </c>
      <c r="P10" s="27">
        <f>IF(NOT(OR(B10&lt;&gt;"",C10&lt;&gt;"",D10&lt;&gt;"",E10&lt;&gt;"",F10&lt;&gt;"",G10&lt;&gt;"",H10&lt;&gt;"",I10&lt;&gt;"",J10&lt;&gt;"",K10&lt;&gt;"",N10&lt;&gt;"")),"",IF(AND(B10&lt;&gt;"",C10&lt;&gt;"",D10&lt;&gt;"",E10&lt;&gt;"",F10&lt;&gt;"",G10&lt;&gt;"",H10&lt;&gt;"",I10&lt;&gt;"",J10&lt;&gt;"",K10&lt;&gt;"",N10&lt;&gt;""),"✓ Completo","⚠ Faltan datos"))</f>
        <v/>
      </c>
      <c r="Q10" s="24" t="n"/>
    </row>
    <row r="11" ht="21" customHeight="1">
      <c r="A11" s="13" t="n">
        <v>5</v>
      </c>
      <c r="B11" s="14" t="n"/>
      <c r="C11" s="14" t="n"/>
      <c r="D11" s="14" t="n"/>
      <c r="E11" s="14" t="n"/>
      <c r="F11" s="15" t="n"/>
      <c r="G11" s="14" t="n"/>
      <c r="H11" s="16" t="n"/>
      <c r="I11" s="17" t="n"/>
      <c r="J11" s="17" t="n"/>
      <c r="K11" s="18" t="n"/>
      <c r="L11" s="14" t="n"/>
      <c r="M11" s="14" t="n"/>
      <c r="N11" s="16" t="n"/>
      <c r="O11" s="19">
        <f>IFERROR(IF(N11="","",IF(MAX(IFERROR(INDEX(Tarifas!$B$3:$F$65,MATCH(K11,Tarifas!$A$3:$A$65,0),MATCH(N11,Tarifas!$B$2:$F$2,0)),0),IFERROR(INDEX(Tarifas!$B$3:$F$65,MATCH(L11,Tarifas!$A$3:$A$65,0),MATCH(N11,Tarifas!$B$2:$F$2,0)),0),IFERROR(INDEX(Tarifas!$B$3:$F$65,MATCH(M11,Tarifas!$A$3:$A$65,0),MATCH(N11,Tarifas!$B$2:$F$2,0)),0))=0,"",MAX(IFERROR(INDEX(Tarifas!$B$3:$F$65,MATCH(K11,Tarifas!$A$3:$A$65,0),MATCH(N11,Tarifas!$B$2:$F$2,0)),0),IFERROR(INDEX(Tarifas!$B$3:$F$65,MATCH(L11,Tarifas!$A$3:$A$65,0),MATCH(N11,Tarifas!$B$2:$F$2,0)),0),IFERROR(INDEX(Tarifas!$B$3:$F$65,MATCH(M11,Tarifas!$A$3:$A$65,0),MATCH(N11,Tarifas!$B$2:$F$2,0)),0)))),"")</f>
        <v/>
      </c>
      <c r="P11" s="20">
        <f>IF(NOT(OR(B11&lt;&gt;"",C11&lt;&gt;"",D11&lt;&gt;"",E11&lt;&gt;"",F11&lt;&gt;"",G11&lt;&gt;"",H11&lt;&gt;"",I11&lt;&gt;"",J11&lt;&gt;"",K11&lt;&gt;"",N11&lt;&gt;"")),"",IF(AND(B11&lt;&gt;"",C11&lt;&gt;"",D11&lt;&gt;"",E11&lt;&gt;"",F11&lt;&gt;"",G11&lt;&gt;"",H11&lt;&gt;"",I11&lt;&gt;"",J11&lt;&gt;"",K11&lt;&gt;"",N11&lt;&gt;""),"✓ Completo","⚠ Faltan datos"))</f>
        <v/>
      </c>
      <c r="Q11" s="16" t="n"/>
    </row>
    <row r="12" ht="21" customHeight="1">
      <c r="A12" s="21" t="n">
        <v>6</v>
      </c>
      <c r="B12" s="22" t="n"/>
      <c r="C12" s="22" t="n"/>
      <c r="D12" s="22" t="n"/>
      <c r="E12" s="22" t="n"/>
      <c r="F12" s="23" t="n"/>
      <c r="G12" s="22" t="n"/>
      <c r="H12" s="24" t="n"/>
      <c r="I12" s="25" t="n"/>
      <c r="J12" s="25" t="n"/>
      <c r="K12" s="26" t="n"/>
      <c r="L12" s="22" t="n"/>
      <c r="M12" s="22" t="n"/>
      <c r="N12" s="24" t="n"/>
      <c r="O12" s="19">
        <f>IFERROR(IF(N12="","",IF(MAX(IFERROR(INDEX(Tarifas!$B$3:$F$65,MATCH(K12,Tarifas!$A$3:$A$65,0),MATCH(N12,Tarifas!$B$2:$F$2,0)),0),IFERROR(INDEX(Tarifas!$B$3:$F$65,MATCH(L12,Tarifas!$A$3:$A$65,0),MATCH(N12,Tarifas!$B$2:$F$2,0)),0),IFERROR(INDEX(Tarifas!$B$3:$F$65,MATCH(M12,Tarifas!$A$3:$A$65,0),MATCH(N12,Tarifas!$B$2:$F$2,0)),0))=0,"",MAX(IFERROR(INDEX(Tarifas!$B$3:$F$65,MATCH(K12,Tarifas!$A$3:$A$65,0),MATCH(N12,Tarifas!$B$2:$F$2,0)),0),IFERROR(INDEX(Tarifas!$B$3:$F$65,MATCH(L12,Tarifas!$A$3:$A$65,0),MATCH(N12,Tarifas!$B$2:$F$2,0)),0),IFERROR(INDEX(Tarifas!$B$3:$F$65,MATCH(M12,Tarifas!$A$3:$A$65,0),MATCH(N12,Tarifas!$B$2:$F$2,0)),0)))),"")</f>
        <v/>
      </c>
      <c r="P12" s="27">
        <f>IF(NOT(OR(B12&lt;&gt;"",C12&lt;&gt;"",D12&lt;&gt;"",E12&lt;&gt;"",F12&lt;&gt;"",G12&lt;&gt;"",H12&lt;&gt;"",I12&lt;&gt;"",J12&lt;&gt;"",K12&lt;&gt;"",N12&lt;&gt;"")),"",IF(AND(B12&lt;&gt;"",C12&lt;&gt;"",D12&lt;&gt;"",E12&lt;&gt;"",F12&lt;&gt;"",G12&lt;&gt;"",H12&lt;&gt;"",I12&lt;&gt;"",J12&lt;&gt;"",K12&lt;&gt;"",N12&lt;&gt;""),"✓ Completo","⚠ Faltan datos"))</f>
        <v/>
      </c>
      <c r="Q12" s="24" t="n"/>
    </row>
    <row r="13" ht="21" customHeight="1">
      <c r="A13" s="13" t="n">
        <v>7</v>
      </c>
      <c r="B13" s="14" t="n"/>
      <c r="C13" s="14" t="n"/>
      <c r="D13" s="14" t="n"/>
      <c r="E13" s="14" t="n"/>
      <c r="F13" s="15" t="n"/>
      <c r="G13" s="14" t="n"/>
      <c r="H13" s="16" t="n"/>
      <c r="I13" s="17" t="n"/>
      <c r="J13" s="17" t="n"/>
      <c r="K13" s="18" t="n"/>
      <c r="L13" s="14" t="n"/>
      <c r="M13" s="14" t="n"/>
      <c r="N13" s="16" t="n"/>
      <c r="O13" s="19">
        <f>IFERROR(IF(N13="","",IF(MAX(IFERROR(INDEX(Tarifas!$B$3:$F$65,MATCH(K13,Tarifas!$A$3:$A$65,0),MATCH(N13,Tarifas!$B$2:$F$2,0)),0),IFERROR(INDEX(Tarifas!$B$3:$F$65,MATCH(L13,Tarifas!$A$3:$A$65,0),MATCH(N13,Tarifas!$B$2:$F$2,0)),0),IFERROR(INDEX(Tarifas!$B$3:$F$65,MATCH(M13,Tarifas!$A$3:$A$65,0),MATCH(N13,Tarifas!$B$2:$F$2,0)),0))=0,"",MAX(IFERROR(INDEX(Tarifas!$B$3:$F$65,MATCH(K13,Tarifas!$A$3:$A$65,0),MATCH(N13,Tarifas!$B$2:$F$2,0)),0),IFERROR(INDEX(Tarifas!$B$3:$F$65,MATCH(L13,Tarifas!$A$3:$A$65,0),MATCH(N13,Tarifas!$B$2:$F$2,0)),0),IFERROR(INDEX(Tarifas!$B$3:$F$65,MATCH(M13,Tarifas!$A$3:$A$65,0),MATCH(N13,Tarifas!$B$2:$F$2,0)),0)))),"")</f>
        <v/>
      </c>
      <c r="P13" s="20">
        <f>IF(NOT(OR(B13&lt;&gt;"",C13&lt;&gt;"",D13&lt;&gt;"",E13&lt;&gt;"",F13&lt;&gt;"",G13&lt;&gt;"",H13&lt;&gt;"",I13&lt;&gt;"",J13&lt;&gt;"",K13&lt;&gt;"",N13&lt;&gt;"")),"",IF(AND(B13&lt;&gt;"",C13&lt;&gt;"",D13&lt;&gt;"",E13&lt;&gt;"",F13&lt;&gt;"",G13&lt;&gt;"",H13&lt;&gt;"",I13&lt;&gt;"",J13&lt;&gt;"",K13&lt;&gt;"",N13&lt;&gt;""),"✓ Completo","⚠ Faltan datos"))</f>
        <v/>
      </c>
      <c r="Q13" s="16" t="n"/>
    </row>
    <row r="14" ht="21" customHeight="1">
      <c r="A14" s="21" t="n">
        <v>8</v>
      </c>
      <c r="B14" s="22" t="n"/>
      <c r="C14" s="22" t="n"/>
      <c r="D14" s="22" t="n"/>
      <c r="E14" s="22" t="n"/>
      <c r="F14" s="23" t="n"/>
      <c r="G14" s="22" t="n"/>
      <c r="H14" s="24" t="n"/>
      <c r="I14" s="25" t="n"/>
      <c r="J14" s="25" t="n"/>
      <c r="K14" s="26" t="n"/>
      <c r="L14" s="22" t="n"/>
      <c r="M14" s="22" t="n"/>
      <c r="N14" s="24" t="n"/>
      <c r="O14" s="19">
        <f>IFERROR(IF(N14="","",IF(MAX(IFERROR(INDEX(Tarifas!$B$3:$F$65,MATCH(K14,Tarifas!$A$3:$A$65,0),MATCH(N14,Tarifas!$B$2:$F$2,0)),0),IFERROR(INDEX(Tarifas!$B$3:$F$65,MATCH(L14,Tarifas!$A$3:$A$65,0),MATCH(N14,Tarifas!$B$2:$F$2,0)),0),IFERROR(INDEX(Tarifas!$B$3:$F$65,MATCH(M14,Tarifas!$A$3:$A$65,0),MATCH(N14,Tarifas!$B$2:$F$2,0)),0))=0,"",MAX(IFERROR(INDEX(Tarifas!$B$3:$F$65,MATCH(K14,Tarifas!$A$3:$A$65,0),MATCH(N14,Tarifas!$B$2:$F$2,0)),0),IFERROR(INDEX(Tarifas!$B$3:$F$65,MATCH(L14,Tarifas!$A$3:$A$65,0),MATCH(N14,Tarifas!$B$2:$F$2,0)),0),IFERROR(INDEX(Tarifas!$B$3:$F$65,MATCH(M14,Tarifas!$A$3:$A$65,0),MATCH(N14,Tarifas!$B$2:$F$2,0)),0)))),"")</f>
        <v/>
      </c>
      <c r="P14" s="27">
        <f>IF(NOT(OR(B14&lt;&gt;"",C14&lt;&gt;"",D14&lt;&gt;"",E14&lt;&gt;"",F14&lt;&gt;"",G14&lt;&gt;"",H14&lt;&gt;"",I14&lt;&gt;"",J14&lt;&gt;"",K14&lt;&gt;"",N14&lt;&gt;"")),"",IF(AND(B14&lt;&gt;"",C14&lt;&gt;"",D14&lt;&gt;"",E14&lt;&gt;"",F14&lt;&gt;"",G14&lt;&gt;"",H14&lt;&gt;"",I14&lt;&gt;"",J14&lt;&gt;"",K14&lt;&gt;"",N14&lt;&gt;""),"✓ Completo","⚠ Faltan datos"))</f>
        <v/>
      </c>
      <c r="Q14" s="24" t="n"/>
    </row>
    <row r="15" ht="21" customHeight="1">
      <c r="A15" s="13" t="n">
        <v>9</v>
      </c>
      <c r="B15" s="14" t="n"/>
      <c r="C15" s="14" t="n"/>
      <c r="D15" s="14" t="n"/>
      <c r="E15" s="14" t="n"/>
      <c r="F15" s="15" t="n"/>
      <c r="G15" s="14" t="n"/>
      <c r="H15" s="16" t="n"/>
      <c r="I15" s="17" t="n"/>
      <c r="J15" s="17" t="n"/>
      <c r="K15" s="18" t="n"/>
      <c r="L15" s="14" t="n"/>
      <c r="M15" s="14" t="n"/>
      <c r="N15" s="16" t="n"/>
      <c r="O15" s="19">
        <f>IFERROR(IF(N15="","",IF(MAX(IFERROR(INDEX(Tarifas!$B$3:$F$65,MATCH(K15,Tarifas!$A$3:$A$65,0),MATCH(N15,Tarifas!$B$2:$F$2,0)),0),IFERROR(INDEX(Tarifas!$B$3:$F$65,MATCH(L15,Tarifas!$A$3:$A$65,0),MATCH(N15,Tarifas!$B$2:$F$2,0)),0),IFERROR(INDEX(Tarifas!$B$3:$F$65,MATCH(M15,Tarifas!$A$3:$A$65,0),MATCH(N15,Tarifas!$B$2:$F$2,0)),0))=0,"",MAX(IFERROR(INDEX(Tarifas!$B$3:$F$65,MATCH(K15,Tarifas!$A$3:$A$65,0),MATCH(N15,Tarifas!$B$2:$F$2,0)),0),IFERROR(INDEX(Tarifas!$B$3:$F$65,MATCH(L15,Tarifas!$A$3:$A$65,0),MATCH(N15,Tarifas!$B$2:$F$2,0)),0),IFERROR(INDEX(Tarifas!$B$3:$F$65,MATCH(M15,Tarifas!$A$3:$A$65,0),MATCH(N15,Tarifas!$B$2:$F$2,0)),0)))),"")</f>
        <v/>
      </c>
      <c r="P15" s="20">
        <f>IF(NOT(OR(B15&lt;&gt;"",C15&lt;&gt;"",D15&lt;&gt;"",E15&lt;&gt;"",F15&lt;&gt;"",G15&lt;&gt;"",H15&lt;&gt;"",I15&lt;&gt;"",J15&lt;&gt;"",K15&lt;&gt;"",N15&lt;&gt;"")),"",IF(AND(B15&lt;&gt;"",C15&lt;&gt;"",D15&lt;&gt;"",E15&lt;&gt;"",F15&lt;&gt;"",G15&lt;&gt;"",H15&lt;&gt;"",I15&lt;&gt;"",J15&lt;&gt;"",K15&lt;&gt;"",N15&lt;&gt;""),"✓ Completo","⚠ Faltan datos"))</f>
        <v/>
      </c>
      <c r="Q15" s="16" t="n"/>
    </row>
    <row r="16" ht="21" customHeight="1">
      <c r="A16" s="21" t="n">
        <v>10</v>
      </c>
      <c r="B16" s="22" t="n"/>
      <c r="C16" s="22" t="n"/>
      <c r="D16" s="22" t="n"/>
      <c r="E16" s="22" t="n"/>
      <c r="F16" s="23" t="n"/>
      <c r="G16" s="22" t="n"/>
      <c r="H16" s="24" t="n"/>
      <c r="I16" s="25" t="n"/>
      <c r="J16" s="25" t="n"/>
      <c r="K16" s="26" t="n"/>
      <c r="L16" s="22" t="n"/>
      <c r="M16" s="22" t="n"/>
      <c r="N16" s="24" t="n"/>
      <c r="O16" s="19">
        <f>IFERROR(IF(N16="","",IF(MAX(IFERROR(INDEX(Tarifas!$B$3:$F$65,MATCH(K16,Tarifas!$A$3:$A$65,0),MATCH(N16,Tarifas!$B$2:$F$2,0)),0),IFERROR(INDEX(Tarifas!$B$3:$F$65,MATCH(L16,Tarifas!$A$3:$A$65,0),MATCH(N16,Tarifas!$B$2:$F$2,0)),0),IFERROR(INDEX(Tarifas!$B$3:$F$65,MATCH(M16,Tarifas!$A$3:$A$65,0),MATCH(N16,Tarifas!$B$2:$F$2,0)),0))=0,"",MAX(IFERROR(INDEX(Tarifas!$B$3:$F$65,MATCH(K16,Tarifas!$A$3:$A$65,0),MATCH(N16,Tarifas!$B$2:$F$2,0)),0),IFERROR(INDEX(Tarifas!$B$3:$F$65,MATCH(L16,Tarifas!$A$3:$A$65,0),MATCH(N16,Tarifas!$B$2:$F$2,0)),0),IFERROR(INDEX(Tarifas!$B$3:$F$65,MATCH(M16,Tarifas!$A$3:$A$65,0),MATCH(N16,Tarifas!$B$2:$F$2,0)),0)))),"")</f>
        <v/>
      </c>
      <c r="P16" s="27">
        <f>IF(NOT(OR(B16&lt;&gt;"",C16&lt;&gt;"",D16&lt;&gt;"",E16&lt;&gt;"",F16&lt;&gt;"",G16&lt;&gt;"",H16&lt;&gt;"",I16&lt;&gt;"",J16&lt;&gt;"",K16&lt;&gt;"",N16&lt;&gt;"")),"",IF(AND(B16&lt;&gt;"",C16&lt;&gt;"",D16&lt;&gt;"",E16&lt;&gt;"",F16&lt;&gt;"",G16&lt;&gt;"",H16&lt;&gt;"",I16&lt;&gt;"",J16&lt;&gt;"",K16&lt;&gt;"",N16&lt;&gt;""),"✓ Completo","⚠ Faltan datos"))</f>
        <v/>
      </c>
      <c r="Q16" s="24" t="n"/>
    </row>
    <row r="17" ht="21" customHeight="1">
      <c r="A17" s="13" t="n">
        <v>11</v>
      </c>
      <c r="B17" s="14" t="n"/>
      <c r="C17" s="14" t="n"/>
      <c r="D17" s="14" t="n"/>
      <c r="E17" s="14" t="n"/>
      <c r="F17" s="15" t="n"/>
      <c r="G17" s="14" t="n"/>
      <c r="H17" s="16" t="n"/>
      <c r="I17" s="17" t="n"/>
      <c r="J17" s="17" t="n"/>
      <c r="K17" s="18" t="n"/>
      <c r="L17" s="14" t="n"/>
      <c r="M17" s="14" t="n"/>
      <c r="N17" s="16" t="n"/>
      <c r="O17" s="19">
        <f>IFERROR(IF(N17="","",IF(MAX(IFERROR(INDEX(Tarifas!$B$3:$F$65,MATCH(K17,Tarifas!$A$3:$A$65,0),MATCH(N17,Tarifas!$B$2:$F$2,0)),0),IFERROR(INDEX(Tarifas!$B$3:$F$65,MATCH(L17,Tarifas!$A$3:$A$65,0),MATCH(N17,Tarifas!$B$2:$F$2,0)),0),IFERROR(INDEX(Tarifas!$B$3:$F$65,MATCH(M17,Tarifas!$A$3:$A$65,0),MATCH(N17,Tarifas!$B$2:$F$2,0)),0))=0,"",MAX(IFERROR(INDEX(Tarifas!$B$3:$F$65,MATCH(K17,Tarifas!$A$3:$A$65,0),MATCH(N17,Tarifas!$B$2:$F$2,0)),0),IFERROR(INDEX(Tarifas!$B$3:$F$65,MATCH(L17,Tarifas!$A$3:$A$65,0),MATCH(N17,Tarifas!$B$2:$F$2,0)),0),IFERROR(INDEX(Tarifas!$B$3:$F$65,MATCH(M17,Tarifas!$A$3:$A$65,0),MATCH(N17,Tarifas!$B$2:$F$2,0)),0)))),"")</f>
        <v/>
      </c>
      <c r="P17" s="20">
        <f>IF(NOT(OR(B17&lt;&gt;"",C17&lt;&gt;"",D17&lt;&gt;"",E17&lt;&gt;"",F17&lt;&gt;"",G17&lt;&gt;"",H17&lt;&gt;"",I17&lt;&gt;"",J17&lt;&gt;"",K17&lt;&gt;"",N17&lt;&gt;"")),"",IF(AND(B17&lt;&gt;"",C17&lt;&gt;"",D17&lt;&gt;"",E17&lt;&gt;"",F17&lt;&gt;"",G17&lt;&gt;"",H17&lt;&gt;"",I17&lt;&gt;"",J17&lt;&gt;"",K17&lt;&gt;"",N17&lt;&gt;""),"✓ Completo","⚠ Faltan datos"))</f>
        <v/>
      </c>
      <c r="Q17" s="16" t="n"/>
    </row>
    <row r="18" ht="21" customHeight="1">
      <c r="A18" s="21" t="n">
        <v>12</v>
      </c>
      <c r="B18" s="22" t="n"/>
      <c r="C18" s="22" t="n"/>
      <c r="D18" s="22" t="n"/>
      <c r="E18" s="22" t="n"/>
      <c r="F18" s="23" t="n"/>
      <c r="G18" s="22" t="n"/>
      <c r="H18" s="24" t="n"/>
      <c r="I18" s="25" t="n"/>
      <c r="J18" s="25" t="n"/>
      <c r="K18" s="26" t="n"/>
      <c r="L18" s="22" t="n"/>
      <c r="M18" s="22" t="n"/>
      <c r="N18" s="24" t="n"/>
      <c r="O18" s="19">
        <f>IFERROR(IF(N18="","",IF(MAX(IFERROR(INDEX(Tarifas!$B$3:$F$65,MATCH(K18,Tarifas!$A$3:$A$65,0),MATCH(N18,Tarifas!$B$2:$F$2,0)),0),IFERROR(INDEX(Tarifas!$B$3:$F$65,MATCH(L18,Tarifas!$A$3:$A$65,0),MATCH(N18,Tarifas!$B$2:$F$2,0)),0),IFERROR(INDEX(Tarifas!$B$3:$F$65,MATCH(M18,Tarifas!$A$3:$A$65,0),MATCH(N18,Tarifas!$B$2:$F$2,0)),0))=0,"",MAX(IFERROR(INDEX(Tarifas!$B$3:$F$65,MATCH(K18,Tarifas!$A$3:$A$65,0),MATCH(N18,Tarifas!$B$2:$F$2,0)),0),IFERROR(INDEX(Tarifas!$B$3:$F$65,MATCH(L18,Tarifas!$A$3:$A$65,0),MATCH(N18,Tarifas!$B$2:$F$2,0)),0),IFERROR(INDEX(Tarifas!$B$3:$F$65,MATCH(M18,Tarifas!$A$3:$A$65,0),MATCH(N18,Tarifas!$B$2:$F$2,0)),0)))),"")</f>
        <v/>
      </c>
      <c r="P18" s="27">
        <f>IF(NOT(OR(B18&lt;&gt;"",C18&lt;&gt;"",D18&lt;&gt;"",E18&lt;&gt;"",F18&lt;&gt;"",G18&lt;&gt;"",H18&lt;&gt;"",I18&lt;&gt;"",J18&lt;&gt;"",K18&lt;&gt;"",N18&lt;&gt;"")),"",IF(AND(B18&lt;&gt;"",C18&lt;&gt;"",D18&lt;&gt;"",E18&lt;&gt;"",F18&lt;&gt;"",G18&lt;&gt;"",H18&lt;&gt;"",I18&lt;&gt;"",J18&lt;&gt;"",K18&lt;&gt;"",N18&lt;&gt;""),"✓ Completo","⚠ Faltan datos"))</f>
        <v/>
      </c>
      <c r="Q18" s="24" t="n"/>
    </row>
    <row r="19" ht="21" customHeight="1">
      <c r="A19" s="13" t="n">
        <v>13</v>
      </c>
      <c r="B19" s="14" t="n"/>
      <c r="C19" s="14" t="n"/>
      <c r="D19" s="14" t="n"/>
      <c r="E19" s="14" t="n"/>
      <c r="F19" s="15" t="n"/>
      <c r="G19" s="14" t="n"/>
      <c r="H19" s="16" t="n"/>
      <c r="I19" s="17" t="n"/>
      <c r="J19" s="17" t="n"/>
      <c r="K19" s="18" t="n"/>
      <c r="L19" s="14" t="n"/>
      <c r="M19" s="14" t="n"/>
      <c r="N19" s="16" t="n"/>
      <c r="O19" s="19">
        <f>IFERROR(IF(N19="","",IF(MAX(IFERROR(INDEX(Tarifas!$B$3:$F$65,MATCH(K19,Tarifas!$A$3:$A$65,0),MATCH(N19,Tarifas!$B$2:$F$2,0)),0),IFERROR(INDEX(Tarifas!$B$3:$F$65,MATCH(L19,Tarifas!$A$3:$A$65,0),MATCH(N19,Tarifas!$B$2:$F$2,0)),0),IFERROR(INDEX(Tarifas!$B$3:$F$65,MATCH(M19,Tarifas!$A$3:$A$65,0),MATCH(N19,Tarifas!$B$2:$F$2,0)),0))=0,"",MAX(IFERROR(INDEX(Tarifas!$B$3:$F$65,MATCH(K19,Tarifas!$A$3:$A$65,0),MATCH(N19,Tarifas!$B$2:$F$2,0)),0),IFERROR(INDEX(Tarifas!$B$3:$F$65,MATCH(L19,Tarifas!$A$3:$A$65,0),MATCH(N19,Tarifas!$B$2:$F$2,0)),0),IFERROR(INDEX(Tarifas!$B$3:$F$65,MATCH(M19,Tarifas!$A$3:$A$65,0),MATCH(N19,Tarifas!$B$2:$F$2,0)),0)))),"")</f>
        <v/>
      </c>
      <c r="P19" s="20">
        <f>IF(NOT(OR(B19&lt;&gt;"",C19&lt;&gt;"",D19&lt;&gt;"",E19&lt;&gt;"",F19&lt;&gt;"",G19&lt;&gt;"",H19&lt;&gt;"",I19&lt;&gt;"",J19&lt;&gt;"",K19&lt;&gt;"",N19&lt;&gt;"")),"",IF(AND(B19&lt;&gt;"",C19&lt;&gt;"",D19&lt;&gt;"",E19&lt;&gt;"",F19&lt;&gt;"",G19&lt;&gt;"",H19&lt;&gt;"",I19&lt;&gt;"",J19&lt;&gt;"",K19&lt;&gt;"",N19&lt;&gt;""),"✓ Completo","⚠ Faltan datos"))</f>
        <v/>
      </c>
      <c r="Q19" s="16" t="n"/>
    </row>
    <row r="20" ht="21" customHeight="1">
      <c r="A20" s="21" t="n">
        <v>14</v>
      </c>
      <c r="B20" s="22" t="n"/>
      <c r="C20" s="22" t="n"/>
      <c r="D20" s="22" t="n"/>
      <c r="E20" s="22" t="n"/>
      <c r="F20" s="23" t="n"/>
      <c r="G20" s="22" t="n"/>
      <c r="H20" s="24" t="n"/>
      <c r="I20" s="25" t="n"/>
      <c r="J20" s="25" t="n"/>
      <c r="K20" s="26" t="n"/>
      <c r="L20" s="22" t="n"/>
      <c r="M20" s="22" t="n"/>
      <c r="N20" s="24" t="n"/>
      <c r="O20" s="19">
        <f>IFERROR(IF(N20="","",IF(MAX(IFERROR(INDEX(Tarifas!$B$3:$F$65,MATCH(K20,Tarifas!$A$3:$A$65,0),MATCH(N20,Tarifas!$B$2:$F$2,0)),0),IFERROR(INDEX(Tarifas!$B$3:$F$65,MATCH(L20,Tarifas!$A$3:$A$65,0),MATCH(N20,Tarifas!$B$2:$F$2,0)),0),IFERROR(INDEX(Tarifas!$B$3:$F$65,MATCH(M20,Tarifas!$A$3:$A$65,0),MATCH(N20,Tarifas!$B$2:$F$2,0)),0))=0,"",MAX(IFERROR(INDEX(Tarifas!$B$3:$F$65,MATCH(K20,Tarifas!$A$3:$A$65,0),MATCH(N20,Tarifas!$B$2:$F$2,0)),0),IFERROR(INDEX(Tarifas!$B$3:$F$65,MATCH(L20,Tarifas!$A$3:$A$65,0),MATCH(N20,Tarifas!$B$2:$F$2,0)),0),IFERROR(INDEX(Tarifas!$B$3:$F$65,MATCH(M20,Tarifas!$A$3:$A$65,0),MATCH(N20,Tarifas!$B$2:$F$2,0)),0)))),"")</f>
        <v/>
      </c>
      <c r="P20" s="27">
        <f>IF(NOT(OR(B20&lt;&gt;"",C20&lt;&gt;"",D20&lt;&gt;"",E20&lt;&gt;"",F20&lt;&gt;"",G20&lt;&gt;"",H20&lt;&gt;"",I20&lt;&gt;"",J20&lt;&gt;"",K20&lt;&gt;"",N20&lt;&gt;"")),"",IF(AND(B20&lt;&gt;"",C20&lt;&gt;"",D20&lt;&gt;"",E20&lt;&gt;"",F20&lt;&gt;"",G20&lt;&gt;"",H20&lt;&gt;"",I20&lt;&gt;"",J20&lt;&gt;"",K20&lt;&gt;"",N20&lt;&gt;""),"✓ Completo","⚠ Faltan datos"))</f>
        <v/>
      </c>
      <c r="Q20" s="24" t="n"/>
    </row>
    <row r="21" ht="21" customHeight="1">
      <c r="A21" s="13" t="n">
        <v>15</v>
      </c>
      <c r="B21" s="14" t="n"/>
      <c r="C21" s="14" t="n"/>
      <c r="D21" s="14" t="n"/>
      <c r="E21" s="14" t="n"/>
      <c r="F21" s="15" t="n"/>
      <c r="G21" s="14" t="n"/>
      <c r="H21" s="16" t="n"/>
      <c r="I21" s="17" t="n"/>
      <c r="J21" s="17" t="n"/>
      <c r="K21" s="18" t="n"/>
      <c r="L21" s="14" t="n"/>
      <c r="M21" s="14" t="n"/>
      <c r="N21" s="16" t="n"/>
      <c r="O21" s="19">
        <f>IFERROR(IF(N21="","",IF(MAX(IFERROR(INDEX(Tarifas!$B$3:$F$65,MATCH(K21,Tarifas!$A$3:$A$65,0),MATCH(N21,Tarifas!$B$2:$F$2,0)),0),IFERROR(INDEX(Tarifas!$B$3:$F$65,MATCH(L21,Tarifas!$A$3:$A$65,0),MATCH(N21,Tarifas!$B$2:$F$2,0)),0),IFERROR(INDEX(Tarifas!$B$3:$F$65,MATCH(M21,Tarifas!$A$3:$A$65,0),MATCH(N21,Tarifas!$B$2:$F$2,0)),0))=0,"",MAX(IFERROR(INDEX(Tarifas!$B$3:$F$65,MATCH(K21,Tarifas!$A$3:$A$65,0),MATCH(N21,Tarifas!$B$2:$F$2,0)),0),IFERROR(INDEX(Tarifas!$B$3:$F$65,MATCH(L21,Tarifas!$A$3:$A$65,0),MATCH(N21,Tarifas!$B$2:$F$2,0)),0),IFERROR(INDEX(Tarifas!$B$3:$F$65,MATCH(M21,Tarifas!$A$3:$A$65,0),MATCH(N21,Tarifas!$B$2:$F$2,0)),0)))),"")</f>
        <v/>
      </c>
      <c r="P21" s="20">
        <f>IF(NOT(OR(B21&lt;&gt;"",C21&lt;&gt;"",D21&lt;&gt;"",E21&lt;&gt;"",F21&lt;&gt;"",G21&lt;&gt;"",H21&lt;&gt;"",I21&lt;&gt;"",J21&lt;&gt;"",K21&lt;&gt;"",N21&lt;&gt;"")),"",IF(AND(B21&lt;&gt;"",C21&lt;&gt;"",D21&lt;&gt;"",E21&lt;&gt;"",F21&lt;&gt;"",G21&lt;&gt;"",H21&lt;&gt;"",I21&lt;&gt;"",J21&lt;&gt;"",K21&lt;&gt;"",N21&lt;&gt;""),"✓ Completo","⚠ Faltan datos"))</f>
        <v/>
      </c>
      <c r="Q21" s="16" t="n"/>
    </row>
    <row r="22" ht="21" customHeight="1">
      <c r="A22" s="21" t="n">
        <v>16</v>
      </c>
      <c r="B22" s="22" t="n"/>
      <c r="C22" s="22" t="n"/>
      <c r="D22" s="22" t="n"/>
      <c r="E22" s="22" t="n"/>
      <c r="F22" s="23" t="n"/>
      <c r="G22" s="22" t="n"/>
      <c r="H22" s="24" t="n"/>
      <c r="I22" s="25" t="n"/>
      <c r="J22" s="25" t="n"/>
      <c r="K22" s="26" t="n"/>
      <c r="L22" s="22" t="n"/>
      <c r="M22" s="22" t="n"/>
      <c r="N22" s="24" t="n"/>
      <c r="O22" s="19">
        <f>IFERROR(IF(N22="","",IF(MAX(IFERROR(INDEX(Tarifas!$B$3:$F$65,MATCH(K22,Tarifas!$A$3:$A$65,0),MATCH(N22,Tarifas!$B$2:$F$2,0)),0),IFERROR(INDEX(Tarifas!$B$3:$F$65,MATCH(L22,Tarifas!$A$3:$A$65,0),MATCH(N22,Tarifas!$B$2:$F$2,0)),0),IFERROR(INDEX(Tarifas!$B$3:$F$65,MATCH(M22,Tarifas!$A$3:$A$65,0),MATCH(N22,Tarifas!$B$2:$F$2,0)),0))=0,"",MAX(IFERROR(INDEX(Tarifas!$B$3:$F$65,MATCH(K22,Tarifas!$A$3:$A$65,0),MATCH(N22,Tarifas!$B$2:$F$2,0)),0),IFERROR(INDEX(Tarifas!$B$3:$F$65,MATCH(L22,Tarifas!$A$3:$A$65,0),MATCH(N22,Tarifas!$B$2:$F$2,0)),0),IFERROR(INDEX(Tarifas!$B$3:$F$65,MATCH(M22,Tarifas!$A$3:$A$65,0),MATCH(N22,Tarifas!$B$2:$F$2,0)),0)))),"")</f>
        <v/>
      </c>
      <c r="P22" s="27">
        <f>IF(NOT(OR(B22&lt;&gt;"",C22&lt;&gt;"",D22&lt;&gt;"",E22&lt;&gt;"",F22&lt;&gt;"",G22&lt;&gt;"",H22&lt;&gt;"",I22&lt;&gt;"",J22&lt;&gt;"",K22&lt;&gt;"",N22&lt;&gt;"")),"",IF(AND(B22&lt;&gt;"",C22&lt;&gt;"",D22&lt;&gt;"",E22&lt;&gt;"",F22&lt;&gt;"",G22&lt;&gt;"",H22&lt;&gt;"",I22&lt;&gt;"",J22&lt;&gt;"",K22&lt;&gt;"",N22&lt;&gt;""),"✓ Completo","⚠ Faltan datos"))</f>
        <v/>
      </c>
      <c r="Q22" s="24" t="n"/>
    </row>
    <row r="23" ht="21" customHeight="1">
      <c r="A23" s="13" t="n">
        <v>17</v>
      </c>
      <c r="B23" s="14" t="n"/>
      <c r="C23" s="14" t="n"/>
      <c r="D23" s="14" t="n"/>
      <c r="E23" s="14" t="n"/>
      <c r="F23" s="15" t="n"/>
      <c r="G23" s="14" t="n"/>
      <c r="H23" s="16" t="n"/>
      <c r="I23" s="17" t="n"/>
      <c r="J23" s="17" t="n"/>
      <c r="K23" s="18" t="n"/>
      <c r="L23" s="14" t="n"/>
      <c r="M23" s="14" t="n"/>
      <c r="N23" s="16" t="n"/>
      <c r="O23" s="19">
        <f>IFERROR(IF(N23="","",IF(MAX(IFERROR(INDEX(Tarifas!$B$3:$F$65,MATCH(K23,Tarifas!$A$3:$A$65,0),MATCH(N23,Tarifas!$B$2:$F$2,0)),0),IFERROR(INDEX(Tarifas!$B$3:$F$65,MATCH(L23,Tarifas!$A$3:$A$65,0),MATCH(N23,Tarifas!$B$2:$F$2,0)),0),IFERROR(INDEX(Tarifas!$B$3:$F$65,MATCH(M23,Tarifas!$A$3:$A$65,0),MATCH(N23,Tarifas!$B$2:$F$2,0)),0))=0,"",MAX(IFERROR(INDEX(Tarifas!$B$3:$F$65,MATCH(K23,Tarifas!$A$3:$A$65,0),MATCH(N23,Tarifas!$B$2:$F$2,0)),0),IFERROR(INDEX(Tarifas!$B$3:$F$65,MATCH(L23,Tarifas!$A$3:$A$65,0),MATCH(N23,Tarifas!$B$2:$F$2,0)),0),IFERROR(INDEX(Tarifas!$B$3:$F$65,MATCH(M23,Tarifas!$A$3:$A$65,0),MATCH(N23,Tarifas!$B$2:$F$2,0)),0)))),"")</f>
        <v/>
      </c>
      <c r="P23" s="20">
        <f>IF(NOT(OR(B23&lt;&gt;"",C23&lt;&gt;"",D23&lt;&gt;"",E23&lt;&gt;"",F23&lt;&gt;"",G23&lt;&gt;"",H23&lt;&gt;"",I23&lt;&gt;"",J23&lt;&gt;"",K23&lt;&gt;"",N23&lt;&gt;"")),"",IF(AND(B23&lt;&gt;"",C23&lt;&gt;"",D23&lt;&gt;"",E23&lt;&gt;"",F23&lt;&gt;"",G23&lt;&gt;"",H23&lt;&gt;"",I23&lt;&gt;"",J23&lt;&gt;"",K23&lt;&gt;"",N23&lt;&gt;""),"✓ Completo","⚠ Faltan datos"))</f>
        <v/>
      </c>
      <c r="Q23" s="16" t="n"/>
    </row>
    <row r="24" ht="21" customHeight="1">
      <c r="A24" s="21" t="n">
        <v>18</v>
      </c>
      <c r="B24" s="22" t="n"/>
      <c r="C24" s="22" t="n"/>
      <c r="D24" s="22" t="n"/>
      <c r="E24" s="22" t="n"/>
      <c r="F24" s="23" t="n"/>
      <c r="G24" s="22" t="n"/>
      <c r="H24" s="24" t="n"/>
      <c r="I24" s="25" t="n"/>
      <c r="J24" s="25" t="n"/>
      <c r="K24" s="26" t="n"/>
      <c r="L24" s="22" t="n"/>
      <c r="M24" s="22" t="n"/>
      <c r="N24" s="24" t="n"/>
      <c r="O24" s="19">
        <f>IFERROR(IF(N24="","",IF(MAX(IFERROR(INDEX(Tarifas!$B$3:$F$65,MATCH(K24,Tarifas!$A$3:$A$65,0),MATCH(N24,Tarifas!$B$2:$F$2,0)),0),IFERROR(INDEX(Tarifas!$B$3:$F$65,MATCH(L24,Tarifas!$A$3:$A$65,0),MATCH(N24,Tarifas!$B$2:$F$2,0)),0),IFERROR(INDEX(Tarifas!$B$3:$F$65,MATCH(M24,Tarifas!$A$3:$A$65,0),MATCH(N24,Tarifas!$B$2:$F$2,0)),0))=0,"",MAX(IFERROR(INDEX(Tarifas!$B$3:$F$65,MATCH(K24,Tarifas!$A$3:$A$65,0),MATCH(N24,Tarifas!$B$2:$F$2,0)),0),IFERROR(INDEX(Tarifas!$B$3:$F$65,MATCH(L24,Tarifas!$A$3:$A$65,0),MATCH(N24,Tarifas!$B$2:$F$2,0)),0),IFERROR(INDEX(Tarifas!$B$3:$F$65,MATCH(M24,Tarifas!$A$3:$A$65,0),MATCH(N24,Tarifas!$B$2:$F$2,0)),0)))),"")</f>
        <v/>
      </c>
      <c r="P24" s="27">
        <f>IF(NOT(OR(B24&lt;&gt;"",C24&lt;&gt;"",D24&lt;&gt;"",E24&lt;&gt;"",F24&lt;&gt;"",G24&lt;&gt;"",H24&lt;&gt;"",I24&lt;&gt;"",J24&lt;&gt;"",K24&lt;&gt;"",N24&lt;&gt;"")),"",IF(AND(B24&lt;&gt;"",C24&lt;&gt;"",D24&lt;&gt;"",E24&lt;&gt;"",F24&lt;&gt;"",G24&lt;&gt;"",H24&lt;&gt;"",I24&lt;&gt;"",J24&lt;&gt;"",K24&lt;&gt;"",N24&lt;&gt;""),"✓ Completo","⚠ Faltan datos"))</f>
        <v/>
      </c>
      <c r="Q24" s="24" t="n"/>
    </row>
    <row r="25" ht="21" customHeight="1">
      <c r="A25" s="13" t="n">
        <v>19</v>
      </c>
      <c r="B25" s="14" t="n"/>
      <c r="C25" s="14" t="n"/>
      <c r="D25" s="14" t="n"/>
      <c r="E25" s="14" t="n"/>
      <c r="F25" s="15" t="n"/>
      <c r="G25" s="14" t="n"/>
      <c r="H25" s="16" t="n"/>
      <c r="I25" s="17" t="n"/>
      <c r="J25" s="17" t="n"/>
      <c r="K25" s="18" t="n"/>
      <c r="L25" s="14" t="n"/>
      <c r="M25" s="14" t="n"/>
      <c r="N25" s="16" t="n"/>
      <c r="O25" s="19">
        <f>IFERROR(IF(N25="","",IF(MAX(IFERROR(INDEX(Tarifas!$B$3:$F$65,MATCH(K25,Tarifas!$A$3:$A$65,0),MATCH(N25,Tarifas!$B$2:$F$2,0)),0),IFERROR(INDEX(Tarifas!$B$3:$F$65,MATCH(L25,Tarifas!$A$3:$A$65,0),MATCH(N25,Tarifas!$B$2:$F$2,0)),0),IFERROR(INDEX(Tarifas!$B$3:$F$65,MATCH(M25,Tarifas!$A$3:$A$65,0),MATCH(N25,Tarifas!$B$2:$F$2,0)),0))=0,"",MAX(IFERROR(INDEX(Tarifas!$B$3:$F$65,MATCH(K25,Tarifas!$A$3:$A$65,0),MATCH(N25,Tarifas!$B$2:$F$2,0)),0),IFERROR(INDEX(Tarifas!$B$3:$F$65,MATCH(L25,Tarifas!$A$3:$A$65,0),MATCH(N25,Tarifas!$B$2:$F$2,0)),0),IFERROR(INDEX(Tarifas!$B$3:$F$65,MATCH(M25,Tarifas!$A$3:$A$65,0),MATCH(N25,Tarifas!$B$2:$F$2,0)),0)))),"")</f>
        <v/>
      </c>
      <c r="P25" s="20">
        <f>IF(NOT(OR(B25&lt;&gt;"",C25&lt;&gt;"",D25&lt;&gt;"",E25&lt;&gt;"",F25&lt;&gt;"",G25&lt;&gt;"",H25&lt;&gt;"",I25&lt;&gt;"",J25&lt;&gt;"",K25&lt;&gt;"",N25&lt;&gt;"")),"",IF(AND(B25&lt;&gt;"",C25&lt;&gt;"",D25&lt;&gt;"",E25&lt;&gt;"",F25&lt;&gt;"",G25&lt;&gt;"",H25&lt;&gt;"",I25&lt;&gt;"",J25&lt;&gt;"",K25&lt;&gt;"",N25&lt;&gt;""),"✓ Completo","⚠ Faltan datos"))</f>
        <v/>
      </c>
      <c r="Q25" s="16" t="n"/>
    </row>
    <row r="26" ht="21" customHeight="1">
      <c r="A26" s="21" t="n">
        <v>20</v>
      </c>
      <c r="B26" s="22" t="n"/>
      <c r="C26" s="22" t="n"/>
      <c r="D26" s="22" t="n"/>
      <c r="E26" s="22" t="n"/>
      <c r="F26" s="23" t="n"/>
      <c r="G26" s="22" t="n"/>
      <c r="H26" s="24" t="n"/>
      <c r="I26" s="25" t="n"/>
      <c r="J26" s="25" t="n"/>
      <c r="K26" s="26" t="n"/>
      <c r="L26" s="22" t="n"/>
      <c r="M26" s="22" t="n"/>
      <c r="N26" s="24" t="n"/>
      <c r="O26" s="19">
        <f>IFERROR(IF(N26="","",IF(MAX(IFERROR(INDEX(Tarifas!$B$3:$F$65,MATCH(K26,Tarifas!$A$3:$A$65,0),MATCH(N26,Tarifas!$B$2:$F$2,0)),0),IFERROR(INDEX(Tarifas!$B$3:$F$65,MATCH(L26,Tarifas!$A$3:$A$65,0),MATCH(N26,Tarifas!$B$2:$F$2,0)),0),IFERROR(INDEX(Tarifas!$B$3:$F$65,MATCH(M26,Tarifas!$A$3:$A$65,0),MATCH(N26,Tarifas!$B$2:$F$2,0)),0))=0,"",MAX(IFERROR(INDEX(Tarifas!$B$3:$F$65,MATCH(K26,Tarifas!$A$3:$A$65,0),MATCH(N26,Tarifas!$B$2:$F$2,0)),0),IFERROR(INDEX(Tarifas!$B$3:$F$65,MATCH(L26,Tarifas!$A$3:$A$65,0),MATCH(N26,Tarifas!$B$2:$F$2,0)),0),IFERROR(INDEX(Tarifas!$B$3:$F$65,MATCH(M26,Tarifas!$A$3:$A$65,0),MATCH(N26,Tarifas!$B$2:$F$2,0)),0)))),"")</f>
        <v/>
      </c>
      <c r="P26" s="27">
        <f>IF(NOT(OR(B26&lt;&gt;"",C26&lt;&gt;"",D26&lt;&gt;"",E26&lt;&gt;"",F26&lt;&gt;"",G26&lt;&gt;"",H26&lt;&gt;"",I26&lt;&gt;"",J26&lt;&gt;"",K26&lt;&gt;"",N26&lt;&gt;"")),"",IF(AND(B26&lt;&gt;"",C26&lt;&gt;"",D26&lt;&gt;"",E26&lt;&gt;"",F26&lt;&gt;"",G26&lt;&gt;"",H26&lt;&gt;"",I26&lt;&gt;"",J26&lt;&gt;"",K26&lt;&gt;"",N26&lt;&gt;""),"✓ Completo","⚠ Faltan datos"))</f>
        <v/>
      </c>
      <c r="Q26" s="24" t="n"/>
    </row>
    <row r="27" ht="21" customHeight="1">
      <c r="A27" s="13" t="n">
        <v>21</v>
      </c>
      <c r="B27" s="14" t="n"/>
      <c r="C27" s="14" t="n"/>
      <c r="D27" s="14" t="n"/>
      <c r="E27" s="14" t="n"/>
      <c r="F27" s="15" t="n"/>
      <c r="G27" s="14" t="n"/>
      <c r="H27" s="16" t="n"/>
      <c r="I27" s="17" t="n"/>
      <c r="J27" s="17" t="n"/>
      <c r="K27" s="18" t="n"/>
      <c r="L27" s="14" t="n"/>
      <c r="M27" s="14" t="n"/>
      <c r="N27" s="16" t="n"/>
      <c r="O27" s="19">
        <f>IFERROR(IF(N27="","",IF(MAX(IFERROR(INDEX(Tarifas!$B$3:$F$65,MATCH(K27,Tarifas!$A$3:$A$65,0),MATCH(N27,Tarifas!$B$2:$F$2,0)),0),IFERROR(INDEX(Tarifas!$B$3:$F$65,MATCH(L27,Tarifas!$A$3:$A$65,0),MATCH(N27,Tarifas!$B$2:$F$2,0)),0),IFERROR(INDEX(Tarifas!$B$3:$F$65,MATCH(M27,Tarifas!$A$3:$A$65,0),MATCH(N27,Tarifas!$B$2:$F$2,0)),0))=0,"",MAX(IFERROR(INDEX(Tarifas!$B$3:$F$65,MATCH(K27,Tarifas!$A$3:$A$65,0),MATCH(N27,Tarifas!$B$2:$F$2,0)),0),IFERROR(INDEX(Tarifas!$B$3:$F$65,MATCH(L27,Tarifas!$A$3:$A$65,0),MATCH(N27,Tarifas!$B$2:$F$2,0)),0),IFERROR(INDEX(Tarifas!$B$3:$F$65,MATCH(M27,Tarifas!$A$3:$A$65,0),MATCH(N27,Tarifas!$B$2:$F$2,0)),0)))),"")</f>
        <v/>
      </c>
      <c r="P27" s="20">
        <f>IF(NOT(OR(B27&lt;&gt;"",C27&lt;&gt;"",D27&lt;&gt;"",E27&lt;&gt;"",F27&lt;&gt;"",G27&lt;&gt;"",H27&lt;&gt;"",I27&lt;&gt;"",J27&lt;&gt;"",K27&lt;&gt;"",N27&lt;&gt;"")),"",IF(AND(B27&lt;&gt;"",C27&lt;&gt;"",D27&lt;&gt;"",E27&lt;&gt;"",F27&lt;&gt;"",G27&lt;&gt;"",H27&lt;&gt;"",I27&lt;&gt;"",J27&lt;&gt;"",K27&lt;&gt;"",N27&lt;&gt;""),"✓ Completo","⚠ Faltan datos"))</f>
        <v/>
      </c>
      <c r="Q27" s="16" t="n"/>
    </row>
    <row r="28" ht="21" customHeight="1">
      <c r="A28" s="21" t="n">
        <v>22</v>
      </c>
      <c r="B28" s="22" t="n"/>
      <c r="C28" s="22" t="n"/>
      <c r="D28" s="22" t="n"/>
      <c r="E28" s="22" t="n"/>
      <c r="F28" s="23" t="n"/>
      <c r="G28" s="22" t="n"/>
      <c r="H28" s="24" t="n"/>
      <c r="I28" s="25" t="n"/>
      <c r="J28" s="25" t="n"/>
      <c r="K28" s="26" t="n"/>
      <c r="L28" s="22" t="n"/>
      <c r="M28" s="22" t="n"/>
      <c r="N28" s="24" t="n"/>
      <c r="O28" s="19">
        <f>IFERROR(IF(N28="","",IF(MAX(IFERROR(INDEX(Tarifas!$B$3:$F$65,MATCH(K28,Tarifas!$A$3:$A$65,0),MATCH(N28,Tarifas!$B$2:$F$2,0)),0),IFERROR(INDEX(Tarifas!$B$3:$F$65,MATCH(L28,Tarifas!$A$3:$A$65,0),MATCH(N28,Tarifas!$B$2:$F$2,0)),0),IFERROR(INDEX(Tarifas!$B$3:$F$65,MATCH(M28,Tarifas!$A$3:$A$65,0),MATCH(N28,Tarifas!$B$2:$F$2,0)),0))=0,"",MAX(IFERROR(INDEX(Tarifas!$B$3:$F$65,MATCH(K28,Tarifas!$A$3:$A$65,0),MATCH(N28,Tarifas!$B$2:$F$2,0)),0),IFERROR(INDEX(Tarifas!$B$3:$F$65,MATCH(L28,Tarifas!$A$3:$A$65,0),MATCH(N28,Tarifas!$B$2:$F$2,0)),0),IFERROR(INDEX(Tarifas!$B$3:$F$65,MATCH(M28,Tarifas!$A$3:$A$65,0),MATCH(N28,Tarifas!$B$2:$F$2,0)),0)))),"")</f>
        <v/>
      </c>
      <c r="P28" s="27">
        <f>IF(NOT(OR(B28&lt;&gt;"",C28&lt;&gt;"",D28&lt;&gt;"",E28&lt;&gt;"",F28&lt;&gt;"",G28&lt;&gt;"",H28&lt;&gt;"",I28&lt;&gt;"",J28&lt;&gt;"",K28&lt;&gt;"",N28&lt;&gt;"")),"",IF(AND(B28&lt;&gt;"",C28&lt;&gt;"",D28&lt;&gt;"",E28&lt;&gt;"",F28&lt;&gt;"",G28&lt;&gt;"",H28&lt;&gt;"",I28&lt;&gt;"",J28&lt;&gt;"",K28&lt;&gt;"",N28&lt;&gt;""),"✓ Completo","⚠ Faltan datos"))</f>
        <v/>
      </c>
      <c r="Q28" s="24" t="n"/>
    </row>
    <row r="29" ht="21" customHeight="1">
      <c r="A29" s="13" t="n">
        <v>23</v>
      </c>
      <c r="B29" s="14" t="n"/>
      <c r="C29" s="14" t="n"/>
      <c r="D29" s="14" t="n"/>
      <c r="E29" s="14" t="n"/>
      <c r="F29" s="15" t="n"/>
      <c r="G29" s="14" t="n"/>
      <c r="H29" s="16" t="n"/>
      <c r="I29" s="17" t="n"/>
      <c r="J29" s="17" t="n"/>
      <c r="K29" s="18" t="n"/>
      <c r="L29" s="14" t="n"/>
      <c r="M29" s="14" t="n"/>
      <c r="N29" s="16" t="n"/>
      <c r="O29" s="19">
        <f>IFERROR(IF(N29="","",IF(MAX(IFERROR(INDEX(Tarifas!$B$3:$F$65,MATCH(K29,Tarifas!$A$3:$A$65,0),MATCH(N29,Tarifas!$B$2:$F$2,0)),0),IFERROR(INDEX(Tarifas!$B$3:$F$65,MATCH(L29,Tarifas!$A$3:$A$65,0),MATCH(N29,Tarifas!$B$2:$F$2,0)),0),IFERROR(INDEX(Tarifas!$B$3:$F$65,MATCH(M29,Tarifas!$A$3:$A$65,0),MATCH(N29,Tarifas!$B$2:$F$2,0)),0))=0,"",MAX(IFERROR(INDEX(Tarifas!$B$3:$F$65,MATCH(K29,Tarifas!$A$3:$A$65,0),MATCH(N29,Tarifas!$B$2:$F$2,0)),0),IFERROR(INDEX(Tarifas!$B$3:$F$65,MATCH(L29,Tarifas!$A$3:$A$65,0),MATCH(N29,Tarifas!$B$2:$F$2,0)),0),IFERROR(INDEX(Tarifas!$B$3:$F$65,MATCH(M29,Tarifas!$A$3:$A$65,0),MATCH(N29,Tarifas!$B$2:$F$2,0)),0)))),"")</f>
        <v/>
      </c>
      <c r="P29" s="20">
        <f>IF(NOT(OR(B29&lt;&gt;"",C29&lt;&gt;"",D29&lt;&gt;"",E29&lt;&gt;"",F29&lt;&gt;"",G29&lt;&gt;"",H29&lt;&gt;"",I29&lt;&gt;"",J29&lt;&gt;"",K29&lt;&gt;"",N29&lt;&gt;"")),"",IF(AND(B29&lt;&gt;"",C29&lt;&gt;"",D29&lt;&gt;"",E29&lt;&gt;"",F29&lt;&gt;"",G29&lt;&gt;"",H29&lt;&gt;"",I29&lt;&gt;"",J29&lt;&gt;"",K29&lt;&gt;"",N29&lt;&gt;""),"✓ Completo","⚠ Faltan datos"))</f>
        <v/>
      </c>
      <c r="Q29" s="16" t="n"/>
    </row>
    <row r="30" ht="21" customHeight="1">
      <c r="A30" s="21" t="n">
        <v>24</v>
      </c>
      <c r="B30" s="22" t="n"/>
      <c r="C30" s="22" t="n"/>
      <c r="D30" s="22" t="n"/>
      <c r="E30" s="22" t="n"/>
      <c r="F30" s="23" t="n"/>
      <c r="G30" s="22" t="n"/>
      <c r="H30" s="24" t="n"/>
      <c r="I30" s="25" t="n"/>
      <c r="J30" s="25" t="n"/>
      <c r="K30" s="26" t="n"/>
      <c r="L30" s="22" t="n"/>
      <c r="M30" s="22" t="n"/>
      <c r="N30" s="24" t="n"/>
      <c r="O30" s="19">
        <f>IFERROR(IF(N30="","",IF(MAX(IFERROR(INDEX(Tarifas!$B$3:$F$65,MATCH(K30,Tarifas!$A$3:$A$65,0),MATCH(N30,Tarifas!$B$2:$F$2,0)),0),IFERROR(INDEX(Tarifas!$B$3:$F$65,MATCH(L30,Tarifas!$A$3:$A$65,0),MATCH(N30,Tarifas!$B$2:$F$2,0)),0),IFERROR(INDEX(Tarifas!$B$3:$F$65,MATCH(M30,Tarifas!$A$3:$A$65,0),MATCH(N30,Tarifas!$B$2:$F$2,0)),0))=0,"",MAX(IFERROR(INDEX(Tarifas!$B$3:$F$65,MATCH(K30,Tarifas!$A$3:$A$65,0),MATCH(N30,Tarifas!$B$2:$F$2,0)),0),IFERROR(INDEX(Tarifas!$B$3:$F$65,MATCH(L30,Tarifas!$A$3:$A$65,0),MATCH(N30,Tarifas!$B$2:$F$2,0)),0),IFERROR(INDEX(Tarifas!$B$3:$F$65,MATCH(M30,Tarifas!$A$3:$A$65,0),MATCH(N30,Tarifas!$B$2:$F$2,0)),0)))),"")</f>
        <v/>
      </c>
      <c r="P30" s="27">
        <f>IF(NOT(OR(B30&lt;&gt;"",C30&lt;&gt;"",D30&lt;&gt;"",E30&lt;&gt;"",F30&lt;&gt;"",G30&lt;&gt;"",H30&lt;&gt;"",I30&lt;&gt;"",J30&lt;&gt;"",K30&lt;&gt;"",N30&lt;&gt;"")),"",IF(AND(B30&lt;&gt;"",C30&lt;&gt;"",D30&lt;&gt;"",E30&lt;&gt;"",F30&lt;&gt;"",G30&lt;&gt;"",H30&lt;&gt;"",I30&lt;&gt;"",J30&lt;&gt;"",K30&lt;&gt;"",N30&lt;&gt;""),"✓ Completo","⚠ Faltan datos"))</f>
        <v/>
      </c>
      <c r="Q30" s="24" t="n"/>
    </row>
    <row r="31" ht="21" customHeight="1">
      <c r="A31" s="13" t="n">
        <v>25</v>
      </c>
      <c r="B31" s="14" t="n"/>
      <c r="C31" s="14" t="n"/>
      <c r="D31" s="14" t="n"/>
      <c r="E31" s="14" t="n"/>
      <c r="F31" s="15" t="n"/>
      <c r="G31" s="14" t="n"/>
      <c r="H31" s="16" t="n"/>
      <c r="I31" s="17" t="n"/>
      <c r="J31" s="17" t="n"/>
      <c r="K31" s="18" t="n"/>
      <c r="L31" s="14" t="n"/>
      <c r="M31" s="14" t="n"/>
      <c r="N31" s="16" t="n"/>
      <c r="O31" s="19">
        <f>IFERROR(IF(N31="","",IF(MAX(IFERROR(INDEX(Tarifas!$B$3:$F$65,MATCH(K31,Tarifas!$A$3:$A$65,0),MATCH(N31,Tarifas!$B$2:$F$2,0)),0),IFERROR(INDEX(Tarifas!$B$3:$F$65,MATCH(L31,Tarifas!$A$3:$A$65,0),MATCH(N31,Tarifas!$B$2:$F$2,0)),0),IFERROR(INDEX(Tarifas!$B$3:$F$65,MATCH(M31,Tarifas!$A$3:$A$65,0),MATCH(N31,Tarifas!$B$2:$F$2,0)),0))=0,"",MAX(IFERROR(INDEX(Tarifas!$B$3:$F$65,MATCH(K31,Tarifas!$A$3:$A$65,0),MATCH(N31,Tarifas!$B$2:$F$2,0)),0),IFERROR(INDEX(Tarifas!$B$3:$F$65,MATCH(L31,Tarifas!$A$3:$A$65,0),MATCH(N31,Tarifas!$B$2:$F$2,0)),0),IFERROR(INDEX(Tarifas!$B$3:$F$65,MATCH(M31,Tarifas!$A$3:$A$65,0),MATCH(N31,Tarifas!$B$2:$F$2,0)),0)))),"")</f>
        <v/>
      </c>
      <c r="P31" s="20">
        <f>IF(NOT(OR(B31&lt;&gt;"",C31&lt;&gt;"",D31&lt;&gt;"",E31&lt;&gt;"",F31&lt;&gt;"",G31&lt;&gt;"",H31&lt;&gt;"",I31&lt;&gt;"",J31&lt;&gt;"",K31&lt;&gt;"",N31&lt;&gt;"")),"",IF(AND(B31&lt;&gt;"",C31&lt;&gt;"",D31&lt;&gt;"",E31&lt;&gt;"",F31&lt;&gt;"",G31&lt;&gt;"",H31&lt;&gt;"",I31&lt;&gt;"",J31&lt;&gt;"",K31&lt;&gt;"",N31&lt;&gt;""),"✓ Completo","⚠ Faltan datos"))</f>
        <v/>
      </c>
      <c r="Q31" s="16" t="n"/>
    </row>
    <row r="32" ht="21" customHeight="1">
      <c r="A32" s="21" t="n">
        <v>26</v>
      </c>
      <c r="B32" s="22" t="n"/>
      <c r="C32" s="22" t="n"/>
      <c r="D32" s="22" t="n"/>
      <c r="E32" s="22" t="n"/>
      <c r="F32" s="23" t="n"/>
      <c r="G32" s="22" t="n"/>
      <c r="H32" s="24" t="n"/>
      <c r="I32" s="25" t="n"/>
      <c r="J32" s="25" t="n"/>
      <c r="K32" s="26" t="n"/>
      <c r="L32" s="22" t="n"/>
      <c r="M32" s="22" t="n"/>
      <c r="N32" s="24" t="n"/>
      <c r="O32" s="19">
        <f>IFERROR(IF(N32="","",IF(MAX(IFERROR(INDEX(Tarifas!$B$3:$F$65,MATCH(K32,Tarifas!$A$3:$A$65,0),MATCH(N32,Tarifas!$B$2:$F$2,0)),0),IFERROR(INDEX(Tarifas!$B$3:$F$65,MATCH(L32,Tarifas!$A$3:$A$65,0),MATCH(N32,Tarifas!$B$2:$F$2,0)),0),IFERROR(INDEX(Tarifas!$B$3:$F$65,MATCH(M32,Tarifas!$A$3:$A$65,0),MATCH(N32,Tarifas!$B$2:$F$2,0)),0))=0,"",MAX(IFERROR(INDEX(Tarifas!$B$3:$F$65,MATCH(K32,Tarifas!$A$3:$A$65,0),MATCH(N32,Tarifas!$B$2:$F$2,0)),0),IFERROR(INDEX(Tarifas!$B$3:$F$65,MATCH(L32,Tarifas!$A$3:$A$65,0),MATCH(N32,Tarifas!$B$2:$F$2,0)),0),IFERROR(INDEX(Tarifas!$B$3:$F$65,MATCH(M32,Tarifas!$A$3:$A$65,0),MATCH(N32,Tarifas!$B$2:$F$2,0)),0)))),"")</f>
        <v/>
      </c>
      <c r="P32" s="27">
        <f>IF(NOT(OR(B32&lt;&gt;"",C32&lt;&gt;"",D32&lt;&gt;"",E32&lt;&gt;"",F32&lt;&gt;"",G32&lt;&gt;"",H32&lt;&gt;"",I32&lt;&gt;"",J32&lt;&gt;"",K32&lt;&gt;"",N32&lt;&gt;"")),"",IF(AND(B32&lt;&gt;"",C32&lt;&gt;"",D32&lt;&gt;"",E32&lt;&gt;"",F32&lt;&gt;"",G32&lt;&gt;"",H32&lt;&gt;"",I32&lt;&gt;"",J32&lt;&gt;"",K32&lt;&gt;"",N32&lt;&gt;""),"✓ Completo","⚠ Faltan datos"))</f>
        <v/>
      </c>
      <c r="Q32" s="24" t="n"/>
    </row>
    <row r="33" ht="21" customHeight="1">
      <c r="A33" s="13" t="n">
        <v>27</v>
      </c>
      <c r="B33" s="14" t="n"/>
      <c r="C33" s="14" t="n"/>
      <c r="D33" s="14" t="n"/>
      <c r="E33" s="14" t="n"/>
      <c r="F33" s="15" t="n"/>
      <c r="G33" s="14" t="n"/>
      <c r="H33" s="16" t="n"/>
      <c r="I33" s="17" t="n"/>
      <c r="J33" s="17" t="n"/>
      <c r="K33" s="18" t="n"/>
      <c r="L33" s="14" t="n"/>
      <c r="M33" s="14" t="n"/>
      <c r="N33" s="16" t="n"/>
      <c r="O33" s="19">
        <f>IFERROR(IF(N33="","",IF(MAX(IFERROR(INDEX(Tarifas!$B$3:$F$65,MATCH(K33,Tarifas!$A$3:$A$65,0),MATCH(N33,Tarifas!$B$2:$F$2,0)),0),IFERROR(INDEX(Tarifas!$B$3:$F$65,MATCH(L33,Tarifas!$A$3:$A$65,0),MATCH(N33,Tarifas!$B$2:$F$2,0)),0),IFERROR(INDEX(Tarifas!$B$3:$F$65,MATCH(M33,Tarifas!$A$3:$A$65,0),MATCH(N33,Tarifas!$B$2:$F$2,0)),0))=0,"",MAX(IFERROR(INDEX(Tarifas!$B$3:$F$65,MATCH(K33,Tarifas!$A$3:$A$65,0),MATCH(N33,Tarifas!$B$2:$F$2,0)),0),IFERROR(INDEX(Tarifas!$B$3:$F$65,MATCH(L33,Tarifas!$A$3:$A$65,0),MATCH(N33,Tarifas!$B$2:$F$2,0)),0),IFERROR(INDEX(Tarifas!$B$3:$F$65,MATCH(M33,Tarifas!$A$3:$A$65,0),MATCH(N33,Tarifas!$B$2:$F$2,0)),0)))),"")</f>
        <v/>
      </c>
      <c r="P33" s="20">
        <f>IF(NOT(OR(B33&lt;&gt;"",C33&lt;&gt;"",D33&lt;&gt;"",E33&lt;&gt;"",F33&lt;&gt;"",G33&lt;&gt;"",H33&lt;&gt;"",I33&lt;&gt;"",J33&lt;&gt;"",K33&lt;&gt;"",N33&lt;&gt;"")),"",IF(AND(B33&lt;&gt;"",C33&lt;&gt;"",D33&lt;&gt;"",E33&lt;&gt;"",F33&lt;&gt;"",G33&lt;&gt;"",H33&lt;&gt;"",I33&lt;&gt;"",J33&lt;&gt;"",K33&lt;&gt;"",N33&lt;&gt;""),"✓ Completo","⚠ Faltan datos"))</f>
        <v/>
      </c>
      <c r="Q33" s="16" t="n"/>
    </row>
    <row r="34" ht="21" customHeight="1">
      <c r="A34" s="21" t="n">
        <v>28</v>
      </c>
      <c r="B34" s="22" t="n"/>
      <c r="C34" s="22" t="n"/>
      <c r="D34" s="22" t="n"/>
      <c r="E34" s="22" t="n"/>
      <c r="F34" s="23" t="n"/>
      <c r="G34" s="22" t="n"/>
      <c r="H34" s="24" t="n"/>
      <c r="I34" s="25" t="n"/>
      <c r="J34" s="25" t="n"/>
      <c r="K34" s="26" t="n"/>
      <c r="L34" s="22" t="n"/>
      <c r="M34" s="22" t="n"/>
      <c r="N34" s="24" t="n"/>
      <c r="O34" s="19">
        <f>IFERROR(IF(N34="","",IF(MAX(IFERROR(INDEX(Tarifas!$B$3:$F$65,MATCH(K34,Tarifas!$A$3:$A$65,0),MATCH(N34,Tarifas!$B$2:$F$2,0)),0),IFERROR(INDEX(Tarifas!$B$3:$F$65,MATCH(L34,Tarifas!$A$3:$A$65,0),MATCH(N34,Tarifas!$B$2:$F$2,0)),0),IFERROR(INDEX(Tarifas!$B$3:$F$65,MATCH(M34,Tarifas!$A$3:$A$65,0),MATCH(N34,Tarifas!$B$2:$F$2,0)),0))=0,"",MAX(IFERROR(INDEX(Tarifas!$B$3:$F$65,MATCH(K34,Tarifas!$A$3:$A$65,0),MATCH(N34,Tarifas!$B$2:$F$2,0)),0),IFERROR(INDEX(Tarifas!$B$3:$F$65,MATCH(L34,Tarifas!$A$3:$A$65,0),MATCH(N34,Tarifas!$B$2:$F$2,0)),0),IFERROR(INDEX(Tarifas!$B$3:$F$65,MATCH(M34,Tarifas!$A$3:$A$65,0),MATCH(N34,Tarifas!$B$2:$F$2,0)),0)))),"")</f>
        <v/>
      </c>
      <c r="P34" s="27">
        <f>IF(NOT(OR(B34&lt;&gt;"",C34&lt;&gt;"",D34&lt;&gt;"",E34&lt;&gt;"",F34&lt;&gt;"",G34&lt;&gt;"",H34&lt;&gt;"",I34&lt;&gt;"",J34&lt;&gt;"",K34&lt;&gt;"",N34&lt;&gt;"")),"",IF(AND(B34&lt;&gt;"",C34&lt;&gt;"",D34&lt;&gt;"",E34&lt;&gt;"",F34&lt;&gt;"",G34&lt;&gt;"",H34&lt;&gt;"",I34&lt;&gt;"",J34&lt;&gt;"",K34&lt;&gt;"",N34&lt;&gt;""),"✓ Completo","⚠ Faltan datos"))</f>
        <v/>
      </c>
      <c r="Q34" s="24" t="n"/>
    </row>
    <row r="35" ht="21" customHeight="1">
      <c r="A35" s="13" t="n">
        <v>29</v>
      </c>
      <c r="B35" s="14" t="n"/>
      <c r="C35" s="14" t="n"/>
      <c r="D35" s="14" t="n"/>
      <c r="E35" s="14" t="n"/>
      <c r="F35" s="15" t="n"/>
      <c r="G35" s="14" t="n"/>
      <c r="H35" s="16" t="n"/>
      <c r="I35" s="17" t="n"/>
      <c r="J35" s="17" t="n"/>
      <c r="K35" s="18" t="n"/>
      <c r="L35" s="14" t="n"/>
      <c r="M35" s="14" t="n"/>
      <c r="N35" s="16" t="n"/>
      <c r="O35" s="19">
        <f>IFERROR(IF(N35="","",IF(MAX(IFERROR(INDEX(Tarifas!$B$3:$F$65,MATCH(K35,Tarifas!$A$3:$A$65,0),MATCH(N35,Tarifas!$B$2:$F$2,0)),0),IFERROR(INDEX(Tarifas!$B$3:$F$65,MATCH(L35,Tarifas!$A$3:$A$65,0),MATCH(N35,Tarifas!$B$2:$F$2,0)),0),IFERROR(INDEX(Tarifas!$B$3:$F$65,MATCH(M35,Tarifas!$A$3:$A$65,0),MATCH(N35,Tarifas!$B$2:$F$2,0)),0))=0,"",MAX(IFERROR(INDEX(Tarifas!$B$3:$F$65,MATCH(K35,Tarifas!$A$3:$A$65,0),MATCH(N35,Tarifas!$B$2:$F$2,0)),0),IFERROR(INDEX(Tarifas!$B$3:$F$65,MATCH(L35,Tarifas!$A$3:$A$65,0),MATCH(N35,Tarifas!$B$2:$F$2,0)),0),IFERROR(INDEX(Tarifas!$B$3:$F$65,MATCH(M35,Tarifas!$A$3:$A$65,0),MATCH(N35,Tarifas!$B$2:$F$2,0)),0)))),"")</f>
        <v/>
      </c>
      <c r="P35" s="20">
        <f>IF(NOT(OR(B35&lt;&gt;"",C35&lt;&gt;"",D35&lt;&gt;"",E35&lt;&gt;"",F35&lt;&gt;"",G35&lt;&gt;"",H35&lt;&gt;"",I35&lt;&gt;"",J35&lt;&gt;"",K35&lt;&gt;"",N35&lt;&gt;"")),"",IF(AND(B35&lt;&gt;"",C35&lt;&gt;"",D35&lt;&gt;"",E35&lt;&gt;"",F35&lt;&gt;"",G35&lt;&gt;"",H35&lt;&gt;"",I35&lt;&gt;"",J35&lt;&gt;"",K35&lt;&gt;"",N35&lt;&gt;""),"✓ Completo","⚠ Faltan datos"))</f>
        <v/>
      </c>
      <c r="Q35" s="16" t="n"/>
    </row>
    <row r="36" ht="21" customHeight="1">
      <c r="A36" s="21" t="n">
        <v>30</v>
      </c>
      <c r="B36" s="22" t="n"/>
      <c r="C36" s="22" t="n"/>
      <c r="D36" s="22" t="n"/>
      <c r="E36" s="22" t="n"/>
      <c r="F36" s="23" t="n"/>
      <c r="G36" s="22" t="n"/>
      <c r="H36" s="24" t="n"/>
      <c r="I36" s="25" t="n"/>
      <c r="J36" s="25" t="n"/>
      <c r="K36" s="26" t="n"/>
      <c r="L36" s="22" t="n"/>
      <c r="M36" s="22" t="n"/>
      <c r="N36" s="24" t="n"/>
      <c r="O36" s="19">
        <f>IFERROR(IF(N36="","",IF(MAX(IFERROR(INDEX(Tarifas!$B$3:$F$65,MATCH(K36,Tarifas!$A$3:$A$65,0),MATCH(N36,Tarifas!$B$2:$F$2,0)),0),IFERROR(INDEX(Tarifas!$B$3:$F$65,MATCH(L36,Tarifas!$A$3:$A$65,0),MATCH(N36,Tarifas!$B$2:$F$2,0)),0),IFERROR(INDEX(Tarifas!$B$3:$F$65,MATCH(M36,Tarifas!$A$3:$A$65,0),MATCH(N36,Tarifas!$B$2:$F$2,0)),0))=0,"",MAX(IFERROR(INDEX(Tarifas!$B$3:$F$65,MATCH(K36,Tarifas!$A$3:$A$65,0),MATCH(N36,Tarifas!$B$2:$F$2,0)),0),IFERROR(INDEX(Tarifas!$B$3:$F$65,MATCH(L36,Tarifas!$A$3:$A$65,0),MATCH(N36,Tarifas!$B$2:$F$2,0)),0),IFERROR(INDEX(Tarifas!$B$3:$F$65,MATCH(M36,Tarifas!$A$3:$A$65,0),MATCH(N36,Tarifas!$B$2:$F$2,0)),0)))),"")</f>
        <v/>
      </c>
      <c r="P36" s="27">
        <f>IF(NOT(OR(B36&lt;&gt;"",C36&lt;&gt;"",D36&lt;&gt;"",E36&lt;&gt;"",F36&lt;&gt;"",G36&lt;&gt;"",H36&lt;&gt;"",I36&lt;&gt;"",J36&lt;&gt;"",K36&lt;&gt;"",N36&lt;&gt;"")),"",IF(AND(B36&lt;&gt;"",C36&lt;&gt;"",D36&lt;&gt;"",E36&lt;&gt;"",F36&lt;&gt;"",G36&lt;&gt;"",H36&lt;&gt;"",I36&lt;&gt;"",J36&lt;&gt;"",K36&lt;&gt;"",N36&lt;&gt;""),"✓ Completo","⚠ Faltan datos"))</f>
        <v/>
      </c>
      <c r="Q36" s="24" t="n"/>
    </row>
    <row r="37" ht="21" customHeight="1">
      <c r="A37" s="13" t="n">
        <v>31</v>
      </c>
      <c r="B37" s="14" t="n"/>
      <c r="C37" s="14" t="n"/>
      <c r="D37" s="14" t="n"/>
      <c r="E37" s="14" t="n"/>
      <c r="F37" s="15" t="n"/>
      <c r="G37" s="14" t="n"/>
      <c r="H37" s="16" t="n"/>
      <c r="I37" s="17" t="n"/>
      <c r="J37" s="17" t="n"/>
      <c r="K37" s="18" t="n"/>
      <c r="L37" s="14" t="n"/>
      <c r="M37" s="14" t="n"/>
      <c r="N37" s="16" t="n"/>
      <c r="O37" s="19">
        <f>IFERROR(IF(N37="","",IF(MAX(IFERROR(INDEX(Tarifas!$B$3:$F$65,MATCH(K37,Tarifas!$A$3:$A$65,0),MATCH(N37,Tarifas!$B$2:$F$2,0)),0),IFERROR(INDEX(Tarifas!$B$3:$F$65,MATCH(L37,Tarifas!$A$3:$A$65,0),MATCH(N37,Tarifas!$B$2:$F$2,0)),0),IFERROR(INDEX(Tarifas!$B$3:$F$65,MATCH(M37,Tarifas!$A$3:$A$65,0),MATCH(N37,Tarifas!$B$2:$F$2,0)),0))=0,"",MAX(IFERROR(INDEX(Tarifas!$B$3:$F$65,MATCH(K37,Tarifas!$A$3:$A$65,0),MATCH(N37,Tarifas!$B$2:$F$2,0)),0),IFERROR(INDEX(Tarifas!$B$3:$F$65,MATCH(L37,Tarifas!$A$3:$A$65,0),MATCH(N37,Tarifas!$B$2:$F$2,0)),0),IFERROR(INDEX(Tarifas!$B$3:$F$65,MATCH(M37,Tarifas!$A$3:$A$65,0),MATCH(N37,Tarifas!$B$2:$F$2,0)),0)))),"")</f>
        <v/>
      </c>
      <c r="P37" s="20">
        <f>IF(NOT(OR(B37&lt;&gt;"",C37&lt;&gt;"",D37&lt;&gt;"",E37&lt;&gt;"",F37&lt;&gt;"",G37&lt;&gt;"",H37&lt;&gt;"",I37&lt;&gt;"",J37&lt;&gt;"",K37&lt;&gt;"",N37&lt;&gt;"")),"",IF(AND(B37&lt;&gt;"",C37&lt;&gt;"",D37&lt;&gt;"",E37&lt;&gt;"",F37&lt;&gt;"",G37&lt;&gt;"",H37&lt;&gt;"",I37&lt;&gt;"",J37&lt;&gt;"",K37&lt;&gt;"",N37&lt;&gt;""),"✓ Completo","⚠ Faltan datos"))</f>
        <v/>
      </c>
      <c r="Q37" s="16" t="n"/>
    </row>
    <row r="38" ht="21" customHeight="1">
      <c r="A38" s="21" t="n">
        <v>32</v>
      </c>
      <c r="B38" s="22" t="n"/>
      <c r="C38" s="22" t="n"/>
      <c r="D38" s="22" t="n"/>
      <c r="E38" s="22" t="n"/>
      <c r="F38" s="23" t="n"/>
      <c r="G38" s="22" t="n"/>
      <c r="H38" s="24" t="n"/>
      <c r="I38" s="25" t="n"/>
      <c r="J38" s="25" t="n"/>
      <c r="K38" s="26" t="n"/>
      <c r="L38" s="22" t="n"/>
      <c r="M38" s="22" t="n"/>
      <c r="N38" s="24" t="n"/>
      <c r="O38" s="19">
        <f>IFERROR(IF(N38="","",IF(MAX(IFERROR(INDEX(Tarifas!$B$3:$F$65,MATCH(K38,Tarifas!$A$3:$A$65,0),MATCH(N38,Tarifas!$B$2:$F$2,0)),0),IFERROR(INDEX(Tarifas!$B$3:$F$65,MATCH(L38,Tarifas!$A$3:$A$65,0),MATCH(N38,Tarifas!$B$2:$F$2,0)),0),IFERROR(INDEX(Tarifas!$B$3:$F$65,MATCH(M38,Tarifas!$A$3:$A$65,0),MATCH(N38,Tarifas!$B$2:$F$2,0)),0))=0,"",MAX(IFERROR(INDEX(Tarifas!$B$3:$F$65,MATCH(K38,Tarifas!$A$3:$A$65,0),MATCH(N38,Tarifas!$B$2:$F$2,0)),0),IFERROR(INDEX(Tarifas!$B$3:$F$65,MATCH(L38,Tarifas!$A$3:$A$65,0),MATCH(N38,Tarifas!$B$2:$F$2,0)),0),IFERROR(INDEX(Tarifas!$B$3:$F$65,MATCH(M38,Tarifas!$A$3:$A$65,0),MATCH(N38,Tarifas!$B$2:$F$2,0)),0)))),"")</f>
        <v/>
      </c>
      <c r="P38" s="27">
        <f>IF(NOT(OR(B38&lt;&gt;"",C38&lt;&gt;"",D38&lt;&gt;"",E38&lt;&gt;"",F38&lt;&gt;"",G38&lt;&gt;"",H38&lt;&gt;"",I38&lt;&gt;"",J38&lt;&gt;"",K38&lt;&gt;"",N38&lt;&gt;"")),"",IF(AND(B38&lt;&gt;"",C38&lt;&gt;"",D38&lt;&gt;"",E38&lt;&gt;"",F38&lt;&gt;"",G38&lt;&gt;"",H38&lt;&gt;"",I38&lt;&gt;"",J38&lt;&gt;"",K38&lt;&gt;"",N38&lt;&gt;""),"✓ Completo","⚠ Faltan datos"))</f>
        <v/>
      </c>
      <c r="Q38" s="24" t="n"/>
    </row>
    <row r="39" ht="21" customHeight="1">
      <c r="A39" s="13" t="n">
        <v>33</v>
      </c>
      <c r="B39" s="14" t="n"/>
      <c r="C39" s="14" t="n"/>
      <c r="D39" s="14" t="n"/>
      <c r="E39" s="14" t="n"/>
      <c r="F39" s="15" t="n"/>
      <c r="G39" s="14" t="n"/>
      <c r="H39" s="16" t="n"/>
      <c r="I39" s="17" t="n"/>
      <c r="J39" s="17" t="n"/>
      <c r="K39" s="18" t="n"/>
      <c r="L39" s="14" t="n"/>
      <c r="M39" s="14" t="n"/>
      <c r="N39" s="16" t="n"/>
      <c r="O39" s="19">
        <f>IFERROR(IF(N39="","",IF(MAX(IFERROR(INDEX(Tarifas!$B$3:$F$65,MATCH(K39,Tarifas!$A$3:$A$65,0),MATCH(N39,Tarifas!$B$2:$F$2,0)),0),IFERROR(INDEX(Tarifas!$B$3:$F$65,MATCH(L39,Tarifas!$A$3:$A$65,0),MATCH(N39,Tarifas!$B$2:$F$2,0)),0),IFERROR(INDEX(Tarifas!$B$3:$F$65,MATCH(M39,Tarifas!$A$3:$A$65,0),MATCH(N39,Tarifas!$B$2:$F$2,0)),0))=0,"",MAX(IFERROR(INDEX(Tarifas!$B$3:$F$65,MATCH(K39,Tarifas!$A$3:$A$65,0),MATCH(N39,Tarifas!$B$2:$F$2,0)),0),IFERROR(INDEX(Tarifas!$B$3:$F$65,MATCH(L39,Tarifas!$A$3:$A$65,0),MATCH(N39,Tarifas!$B$2:$F$2,0)),0),IFERROR(INDEX(Tarifas!$B$3:$F$65,MATCH(M39,Tarifas!$A$3:$A$65,0),MATCH(N39,Tarifas!$B$2:$F$2,0)),0)))),"")</f>
        <v/>
      </c>
      <c r="P39" s="20">
        <f>IF(NOT(OR(B39&lt;&gt;"",C39&lt;&gt;"",D39&lt;&gt;"",E39&lt;&gt;"",F39&lt;&gt;"",G39&lt;&gt;"",H39&lt;&gt;"",I39&lt;&gt;"",J39&lt;&gt;"",K39&lt;&gt;"",N39&lt;&gt;"")),"",IF(AND(B39&lt;&gt;"",C39&lt;&gt;"",D39&lt;&gt;"",E39&lt;&gt;"",F39&lt;&gt;"",G39&lt;&gt;"",H39&lt;&gt;"",I39&lt;&gt;"",J39&lt;&gt;"",K39&lt;&gt;"",N39&lt;&gt;""),"✓ Completo","⚠ Faltan datos"))</f>
        <v/>
      </c>
      <c r="Q39" s="16" t="n"/>
    </row>
    <row r="40" ht="21" customHeight="1">
      <c r="A40" s="21" t="n">
        <v>34</v>
      </c>
      <c r="B40" s="22" t="n"/>
      <c r="C40" s="22" t="n"/>
      <c r="D40" s="22" t="n"/>
      <c r="E40" s="22" t="n"/>
      <c r="F40" s="23" t="n"/>
      <c r="G40" s="22" t="n"/>
      <c r="H40" s="24" t="n"/>
      <c r="I40" s="25" t="n"/>
      <c r="J40" s="25" t="n"/>
      <c r="K40" s="26" t="n"/>
      <c r="L40" s="22" t="n"/>
      <c r="M40" s="22" t="n"/>
      <c r="N40" s="24" t="n"/>
      <c r="O40" s="19">
        <f>IFERROR(IF(N40="","",IF(MAX(IFERROR(INDEX(Tarifas!$B$3:$F$65,MATCH(K40,Tarifas!$A$3:$A$65,0),MATCH(N40,Tarifas!$B$2:$F$2,0)),0),IFERROR(INDEX(Tarifas!$B$3:$F$65,MATCH(L40,Tarifas!$A$3:$A$65,0),MATCH(N40,Tarifas!$B$2:$F$2,0)),0),IFERROR(INDEX(Tarifas!$B$3:$F$65,MATCH(M40,Tarifas!$A$3:$A$65,0),MATCH(N40,Tarifas!$B$2:$F$2,0)),0))=0,"",MAX(IFERROR(INDEX(Tarifas!$B$3:$F$65,MATCH(K40,Tarifas!$A$3:$A$65,0),MATCH(N40,Tarifas!$B$2:$F$2,0)),0),IFERROR(INDEX(Tarifas!$B$3:$F$65,MATCH(L40,Tarifas!$A$3:$A$65,0),MATCH(N40,Tarifas!$B$2:$F$2,0)),0),IFERROR(INDEX(Tarifas!$B$3:$F$65,MATCH(M40,Tarifas!$A$3:$A$65,0),MATCH(N40,Tarifas!$B$2:$F$2,0)),0)))),"")</f>
        <v/>
      </c>
      <c r="P40" s="27">
        <f>IF(NOT(OR(B40&lt;&gt;"",C40&lt;&gt;"",D40&lt;&gt;"",E40&lt;&gt;"",F40&lt;&gt;"",G40&lt;&gt;"",H40&lt;&gt;"",I40&lt;&gt;"",J40&lt;&gt;"",K40&lt;&gt;"",N40&lt;&gt;"")),"",IF(AND(B40&lt;&gt;"",C40&lt;&gt;"",D40&lt;&gt;"",E40&lt;&gt;"",F40&lt;&gt;"",G40&lt;&gt;"",H40&lt;&gt;"",I40&lt;&gt;"",J40&lt;&gt;"",K40&lt;&gt;"",N40&lt;&gt;""),"✓ Completo","⚠ Faltan datos"))</f>
        <v/>
      </c>
      <c r="Q40" s="24" t="n"/>
    </row>
    <row r="41" ht="21" customHeight="1">
      <c r="A41" s="13" t="n">
        <v>35</v>
      </c>
      <c r="B41" s="14" t="n"/>
      <c r="C41" s="14" t="n"/>
      <c r="D41" s="14" t="n"/>
      <c r="E41" s="14" t="n"/>
      <c r="F41" s="15" t="n"/>
      <c r="G41" s="14" t="n"/>
      <c r="H41" s="16" t="n"/>
      <c r="I41" s="17" t="n"/>
      <c r="J41" s="17" t="n"/>
      <c r="K41" s="18" t="n"/>
      <c r="L41" s="14" t="n"/>
      <c r="M41" s="14" t="n"/>
      <c r="N41" s="16" t="n"/>
      <c r="O41" s="19">
        <f>IFERROR(IF(N41="","",IF(MAX(IFERROR(INDEX(Tarifas!$B$3:$F$65,MATCH(K41,Tarifas!$A$3:$A$65,0),MATCH(N41,Tarifas!$B$2:$F$2,0)),0),IFERROR(INDEX(Tarifas!$B$3:$F$65,MATCH(L41,Tarifas!$A$3:$A$65,0),MATCH(N41,Tarifas!$B$2:$F$2,0)),0),IFERROR(INDEX(Tarifas!$B$3:$F$65,MATCH(M41,Tarifas!$A$3:$A$65,0),MATCH(N41,Tarifas!$B$2:$F$2,0)),0))=0,"",MAX(IFERROR(INDEX(Tarifas!$B$3:$F$65,MATCH(K41,Tarifas!$A$3:$A$65,0),MATCH(N41,Tarifas!$B$2:$F$2,0)),0),IFERROR(INDEX(Tarifas!$B$3:$F$65,MATCH(L41,Tarifas!$A$3:$A$65,0),MATCH(N41,Tarifas!$B$2:$F$2,0)),0),IFERROR(INDEX(Tarifas!$B$3:$F$65,MATCH(M41,Tarifas!$A$3:$A$65,0),MATCH(N41,Tarifas!$B$2:$F$2,0)),0)))),"")</f>
        <v/>
      </c>
      <c r="P41" s="20">
        <f>IF(NOT(OR(B41&lt;&gt;"",C41&lt;&gt;"",D41&lt;&gt;"",E41&lt;&gt;"",F41&lt;&gt;"",G41&lt;&gt;"",H41&lt;&gt;"",I41&lt;&gt;"",J41&lt;&gt;"",K41&lt;&gt;"",N41&lt;&gt;"")),"",IF(AND(B41&lt;&gt;"",C41&lt;&gt;"",D41&lt;&gt;"",E41&lt;&gt;"",F41&lt;&gt;"",G41&lt;&gt;"",H41&lt;&gt;"",I41&lt;&gt;"",J41&lt;&gt;"",K41&lt;&gt;"",N41&lt;&gt;""),"✓ Completo","⚠ Faltan datos"))</f>
        <v/>
      </c>
      <c r="Q41" s="16" t="n"/>
    </row>
    <row r="42" ht="21" customHeight="1">
      <c r="A42" s="21" t="n">
        <v>36</v>
      </c>
      <c r="B42" s="22" t="n"/>
      <c r="C42" s="22" t="n"/>
      <c r="D42" s="22" t="n"/>
      <c r="E42" s="22" t="n"/>
      <c r="F42" s="23" t="n"/>
      <c r="G42" s="22" t="n"/>
      <c r="H42" s="24" t="n"/>
      <c r="I42" s="25" t="n"/>
      <c r="J42" s="25" t="n"/>
      <c r="K42" s="26" t="n"/>
      <c r="L42" s="22" t="n"/>
      <c r="M42" s="22" t="n"/>
      <c r="N42" s="24" t="n"/>
      <c r="O42" s="19">
        <f>IFERROR(IF(N42="","",IF(MAX(IFERROR(INDEX(Tarifas!$B$3:$F$65,MATCH(K42,Tarifas!$A$3:$A$65,0),MATCH(N42,Tarifas!$B$2:$F$2,0)),0),IFERROR(INDEX(Tarifas!$B$3:$F$65,MATCH(L42,Tarifas!$A$3:$A$65,0),MATCH(N42,Tarifas!$B$2:$F$2,0)),0),IFERROR(INDEX(Tarifas!$B$3:$F$65,MATCH(M42,Tarifas!$A$3:$A$65,0),MATCH(N42,Tarifas!$B$2:$F$2,0)),0))=0,"",MAX(IFERROR(INDEX(Tarifas!$B$3:$F$65,MATCH(K42,Tarifas!$A$3:$A$65,0),MATCH(N42,Tarifas!$B$2:$F$2,0)),0),IFERROR(INDEX(Tarifas!$B$3:$F$65,MATCH(L42,Tarifas!$A$3:$A$65,0),MATCH(N42,Tarifas!$B$2:$F$2,0)),0),IFERROR(INDEX(Tarifas!$B$3:$F$65,MATCH(M42,Tarifas!$A$3:$A$65,0),MATCH(N42,Tarifas!$B$2:$F$2,0)),0)))),"")</f>
        <v/>
      </c>
      <c r="P42" s="27">
        <f>IF(NOT(OR(B42&lt;&gt;"",C42&lt;&gt;"",D42&lt;&gt;"",E42&lt;&gt;"",F42&lt;&gt;"",G42&lt;&gt;"",H42&lt;&gt;"",I42&lt;&gt;"",J42&lt;&gt;"",K42&lt;&gt;"",N42&lt;&gt;"")),"",IF(AND(B42&lt;&gt;"",C42&lt;&gt;"",D42&lt;&gt;"",E42&lt;&gt;"",F42&lt;&gt;"",G42&lt;&gt;"",H42&lt;&gt;"",I42&lt;&gt;"",J42&lt;&gt;"",K42&lt;&gt;"",N42&lt;&gt;""),"✓ Completo","⚠ Faltan datos"))</f>
        <v/>
      </c>
      <c r="Q42" s="24" t="n"/>
    </row>
    <row r="43" ht="21" customHeight="1">
      <c r="A43" s="13" t="n">
        <v>37</v>
      </c>
      <c r="B43" s="14" t="n"/>
      <c r="C43" s="14" t="n"/>
      <c r="D43" s="14" t="n"/>
      <c r="E43" s="14" t="n"/>
      <c r="F43" s="15" t="n"/>
      <c r="G43" s="14" t="n"/>
      <c r="H43" s="16" t="n"/>
      <c r="I43" s="17" t="n"/>
      <c r="J43" s="17" t="n"/>
      <c r="K43" s="18" t="n"/>
      <c r="L43" s="14" t="n"/>
      <c r="M43" s="14" t="n"/>
      <c r="N43" s="16" t="n"/>
      <c r="O43" s="19">
        <f>IFERROR(IF(N43="","",IF(MAX(IFERROR(INDEX(Tarifas!$B$3:$F$65,MATCH(K43,Tarifas!$A$3:$A$65,0),MATCH(N43,Tarifas!$B$2:$F$2,0)),0),IFERROR(INDEX(Tarifas!$B$3:$F$65,MATCH(L43,Tarifas!$A$3:$A$65,0),MATCH(N43,Tarifas!$B$2:$F$2,0)),0),IFERROR(INDEX(Tarifas!$B$3:$F$65,MATCH(M43,Tarifas!$A$3:$A$65,0),MATCH(N43,Tarifas!$B$2:$F$2,0)),0))=0,"",MAX(IFERROR(INDEX(Tarifas!$B$3:$F$65,MATCH(K43,Tarifas!$A$3:$A$65,0),MATCH(N43,Tarifas!$B$2:$F$2,0)),0),IFERROR(INDEX(Tarifas!$B$3:$F$65,MATCH(L43,Tarifas!$A$3:$A$65,0),MATCH(N43,Tarifas!$B$2:$F$2,0)),0),IFERROR(INDEX(Tarifas!$B$3:$F$65,MATCH(M43,Tarifas!$A$3:$A$65,0),MATCH(N43,Tarifas!$B$2:$F$2,0)),0)))),"")</f>
        <v/>
      </c>
      <c r="P43" s="20">
        <f>IF(NOT(OR(B43&lt;&gt;"",C43&lt;&gt;"",D43&lt;&gt;"",E43&lt;&gt;"",F43&lt;&gt;"",G43&lt;&gt;"",H43&lt;&gt;"",I43&lt;&gt;"",J43&lt;&gt;"",K43&lt;&gt;"",N43&lt;&gt;"")),"",IF(AND(B43&lt;&gt;"",C43&lt;&gt;"",D43&lt;&gt;"",E43&lt;&gt;"",F43&lt;&gt;"",G43&lt;&gt;"",H43&lt;&gt;"",I43&lt;&gt;"",J43&lt;&gt;"",K43&lt;&gt;"",N43&lt;&gt;""),"✓ Completo","⚠ Faltan datos"))</f>
        <v/>
      </c>
      <c r="Q43" s="16" t="n"/>
    </row>
    <row r="44" ht="21" customHeight="1">
      <c r="A44" s="21" t="n">
        <v>38</v>
      </c>
      <c r="B44" s="22" t="n"/>
      <c r="C44" s="22" t="n"/>
      <c r="D44" s="22" t="n"/>
      <c r="E44" s="22" t="n"/>
      <c r="F44" s="23" t="n"/>
      <c r="G44" s="22" t="n"/>
      <c r="H44" s="24" t="n"/>
      <c r="I44" s="25" t="n"/>
      <c r="J44" s="25" t="n"/>
      <c r="K44" s="26" t="n"/>
      <c r="L44" s="22" t="n"/>
      <c r="M44" s="22" t="n"/>
      <c r="N44" s="24" t="n"/>
      <c r="O44" s="19">
        <f>IFERROR(IF(N44="","",IF(MAX(IFERROR(INDEX(Tarifas!$B$3:$F$65,MATCH(K44,Tarifas!$A$3:$A$65,0),MATCH(N44,Tarifas!$B$2:$F$2,0)),0),IFERROR(INDEX(Tarifas!$B$3:$F$65,MATCH(L44,Tarifas!$A$3:$A$65,0),MATCH(N44,Tarifas!$B$2:$F$2,0)),0),IFERROR(INDEX(Tarifas!$B$3:$F$65,MATCH(M44,Tarifas!$A$3:$A$65,0),MATCH(N44,Tarifas!$B$2:$F$2,0)),0))=0,"",MAX(IFERROR(INDEX(Tarifas!$B$3:$F$65,MATCH(K44,Tarifas!$A$3:$A$65,0),MATCH(N44,Tarifas!$B$2:$F$2,0)),0),IFERROR(INDEX(Tarifas!$B$3:$F$65,MATCH(L44,Tarifas!$A$3:$A$65,0),MATCH(N44,Tarifas!$B$2:$F$2,0)),0),IFERROR(INDEX(Tarifas!$B$3:$F$65,MATCH(M44,Tarifas!$A$3:$A$65,0),MATCH(N44,Tarifas!$B$2:$F$2,0)),0)))),"")</f>
        <v/>
      </c>
      <c r="P44" s="27">
        <f>IF(NOT(OR(B44&lt;&gt;"",C44&lt;&gt;"",D44&lt;&gt;"",E44&lt;&gt;"",F44&lt;&gt;"",G44&lt;&gt;"",H44&lt;&gt;"",I44&lt;&gt;"",J44&lt;&gt;"",K44&lt;&gt;"",N44&lt;&gt;"")),"",IF(AND(B44&lt;&gt;"",C44&lt;&gt;"",D44&lt;&gt;"",E44&lt;&gt;"",F44&lt;&gt;"",G44&lt;&gt;"",H44&lt;&gt;"",I44&lt;&gt;"",J44&lt;&gt;"",K44&lt;&gt;"",N44&lt;&gt;""),"✓ Completo","⚠ Faltan datos"))</f>
        <v/>
      </c>
      <c r="Q44" s="24" t="n"/>
    </row>
    <row r="45" ht="21" customHeight="1">
      <c r="A45" s="13" t="n">
        <v>39</v>
      </c>
      <c r="B45" s="14" t="n"/>
      <c r="C45" s="14" t="n"/>
      <c r="D45" s="14" t="n"/>
      <c r="E45" s="14" t="n"/>
      <c r="F45" s="15" t="n"/>
      <c r="G45" s="14" t="n"/>
      <c r="H45" s="16" t="n"/>
      <c r="I45" s="17" t="n"/>
      <c r="J45" s="17" t="n"/>
      <c r="K45" s="18" t="n"/>
      <c r="L45" s="14" t="n"/>
      <c r="M45" s="14" t="n"/>
      <c r="N45" s="16" t="n"/>
      <c r="O45" s="19">
        <f>IFERROR(IF(N45="","",IF(MAX(IFERROR(INDEX(Tarifas!$B$3:$F$65,MATCH(K45,Tarifas!$A$3:$A$65,0),MATCH(N45,Tarifas!$B$2:$F$2,0)),0),IFERROR(INDEX(Tarifas!$B$3:$F$65,MATCH(L45,Tarifas!$A$3:$A$65,0),MATCH(N45,Tarifas!$B$2:$F$2,0)),0),IFERROR(INDEX(Tarifas!$B$3:$F$65,MATCH(M45,Tarifas!$A$3:$A$65,0),MATCH(N45,Tarifas!$B$2:$F$2,0)),0))=0,"",MAX(IFERROR(INDEX(Tarifas!$B$3:$F$65,MATCH(K45,Tarifas!$A$3:$A$65,0),MATCH(N45,Tarifas!$B$2:$F$2,0)),0),IFERROR(INDEX(Tarifas!$B$3:$F$65,MATCH(L45,Tarifas!$A$3:$A$65,0),MATCH(N45,Tarifas!$B$2:$F$2,0)),0),IFERROR(INDEX(Tarifas!$B$3:$F$65,MATCH(M45,Tarifas!$A$3:$A$65,0),MATCH(N45,Tarifas!$B$2:$F$2,0)),0)))),"")</f>
        <v/>
      </c>
      <c r="P45" s="20">
        <f>IF(NOT(OR(B45&lt;&gt;"",C45&lt;&gt;"",D45&lt;&gt;"",E45&lt;&gt;"",F45&lt;&gt;"",G45&lt;&gt;"",H45&lt;&gt;"",I45&lt;&gt;"",J45&lt;&gt;"",K45&lt;&gt;"",N45&lt;&gt;"")),"",IF(AND(B45&lt;&gt;"",C45&lt;&gt;"",D45&lt;&gt;"",E45&lt;&gt;"",F45&lt;&gt;"",G45&lt;&gt;"",H45&lt;&gt;"",I45&lt;&gt;"",J45&lt;&gt;"",K45&lt;&gt;"",N45&lt;&gt;""),"✓ Completo","⚠ Faltan datos"))</f>
        <v/>
      </c>
      <c r="Q45" s="16" t="n"/>
    </row>
    <row r="46" ht="21" customHeight="1">
      <c r="A46" s="21" t="n">
        <v>40</v>
      </c>
      <c r="B46" s="22" t="n"/>
      <c r="C46" s="22" t="n"/>
      <c r="D46" s="22" t="n"/>
      <c r="E46" s="22" t="n"/>
      <c r="F46" s="23" t="n"/>
      <c r="G46" s="22" t="n"/>
      <c r="H46" s="24" t="n"/>
      <c r="I46" s="25" t="n"/>
      <c r="J46" s="25" t="n"/>
      <c r="K46" s="26" t="n"/>
      <c r="L46" s="22" t="n"/>
      <c r="M46" s="22" t="n"/>
      <c r="N46" s="24" t="n"/>
      <c r="O46" s="19">
        <f>IFERROR(IF(N46="","",IF(MAX(IFERROR(INDEX(Tarifas!$B$3:$F$65,MATCH(K46,Tarifas!$A$3:$A$65,0),MATCH(N46,Tarifas!$B$2:$F$2,0)),0),IFERROR(INDEX(Tarifas!$B$3:$F$65,MATCH(L46,Tarifas!$A$3:$A$65,0),MATCH(N46,Tarifas!$B$2:$F$2,0)),0),IFERROR(INDEX(Tarifas!$B$3:$F$65,MATCH(M46,Tarifas!$A$3:$A$65,0),MATCH(N46,Tarifas!$B$2:$F$2,0)),0))=0,"",MAX(IFERROR(INDEX(Tarifas!$B$3:$F$65,MATCH(K46,Tarifas!$A$3:$A$65,0),MATCH(N46,Tarifas!$B$2:$F$2,0)),0),IFERROR(INDEX(Tarifas!$B$3:$F$65,MATCH(L46,Tarifas!$A$3:$A$65,0),MATCH(N46,Tarifas!$B$2:$F$2,0)),0),IFERROR(INDEX(Tarifas!$B$3:$F$65,MATCH(M46,Tarifas!$A$3:$A$65,0),MATCH(N46,Tarifas!$B$2:$F$2,0)),0)))),"")</f>
        <v/>
      </c>
      <c r="P46" s="27">
        <f>IF(NOT(OR(B46&lt;&gt;"",C46&lt;&gt;"",D46&lt;&gt;"",E46&lt;&gt;"",F46&lt;&gt;"",G46&lt;&gt;"",H46&lt;&gt;"",I46&lt;&gt;"",J46&lt;&gt;"",K46&lt;&gt;"",N46&lt;&gt;"")),"",IF(AND(B46&lt;&gt;"",C46&lt;&gt;"",D46&lt;&gt;"",E46&lt;&gt;"",F46&lt;&gt;"",G46&lt;&gt;"",H46&lt;&gt;"",I46&lt;&gt;"",J46&lt;&gt;"",K46&lt;&gt;"",N46&lt;&gt;""),"✓ Completo","⚠ Faltan datos"))</f>
        <v/>
      </c>
      <c r="Q46" s="24" t="n"/>
    </row>
    <row r="47" ht="21" customHeight="1">
      <c r="A47" s="13" t="n">
        <v>41</v>
      </c>
      <c r="B47" s="14" t="n"/>
      <c r="C47" s="14" t="n"/>
      <c r="D47" s="14" t="n"/>
      <c r="E47" s="14" t="n"/>
      <c r="F47" s="15" t="n"/>
      <c r="G47" s="14" t="n"/>
      <c r="H47" s="16" t="n"/>
      <c r="I47" s="17" t="n"/>
      <c r="J47" s="17" t="n"/>
      <c r="K47" s="18" t="n"/>
      <c r="L47" s="14" t="n"/>
      <c r="M47" s="14" t="n"/>
      <c r="N47" s="16" t="n"/>
      <c r="O47" s="19">
        <f>IFERROR(IF(N47="","",IF(MAX(IFERROR(INDEX(Tarifas!$B$3:$F$65,MATCH(K47,Tarifas!$A$3:$A$65,0),MATCH(N47,Tarifas!$B$2:$F$2,0)),0),IFERROR(INDEX(Tarifas!$B$3:$F$65,MATCH(L47,Tarifas!$A$3:$A$65,0),MATCH(N47,Tarifas!$B$2:$F$2,0)),0),IFERROR(INDEX(Tarifas!$B$3:$F$65,MATCH(M47,Tarifas!$A$3:$A$65,0),MATCH(N47,Tarifas!$B$2:$F$2,0)),0))=0,"",MAX(IFERROR(INDEX(Tarifas!$B$3:$F$65,MATCH(K47,Tarifas!$A$3:$A$65,0),MATCH(N47,Tarifas!$B$2:$F$2,0)),0),IFERROR(INDEX(Tarifas!$B$3:$F$65,MATCH(L47,Tarifas!$A$3:$A$65,0),MATCH(N47,Tarifas!$B$2:$F$2,0)),0),IFERROR(INDEX(Tarifas!$B$3:$F$65,MATCH(M47,Tarifas!$A$3:$A$65,0),MATCH(N47,Tarifas!$B$2:$F$2,0)),0)))),"")</f>
        <v/>
      </c>
      <c r="P47" s="20">
        <f>IF(NOT(OR(B47&lt;&gt;"",C47&lt;&gt;"",D47&lt;&gt;"",E47&lt;&gt;"",F47&lt;&gt;"",G47&lt;&gt;"",H47&lt;&gt;"",I47&lt;&gt;"",J47&lt;&gt;"",K47&lt;&gt;"",N47&lt;&gt;"")),"",IF(AND(B47&lt;&gt;"",C47&lt;&gt;"",D47&lt;&gt;"",E47&lt;&gt;"",F47&lt;&gt;"",G47&lt;&gt;"",H47&lt;&gt;"",I47&lt;&gt;"",J47&lt;&gt;"",K47&lt;&gt;"",N47&lt;&gt;""),"✓ Completo","⚠ Faltan datos"))</f>
        <v/>
      </c>
      <c r="Q47" s="16" t="n"/>
    </row>
    <row r="48" ht="21" customHeight="1">
      <c r="A48" s="21" t="n">
        <v>42</v>
      </c>
      <c r="B48" s="22" t="n"/>
      <c r="C48" s="22" t="n"/>
      <c r="D48" s="22" t="n"/>
      <c r="E48" s="22" t="n"/>
      <c r="F48" s="23" t="n"/>
      <c r="G48" s="22" t="n"/>
      <c r="H48" s="24" t="n"/>
      <c r="I48" s="25" t="n"/>
      <c r="J48" s="25" t="n"/>
      <c r="K48" s="26" t="n"/>
      <c r="L48" s="22" t="n"/>
      <c r="M48" s="22" t="n"/>
      <c r="N48" s="24" t="n"/>
      <c r="O48" s="19">
        <f>IFERROR(IF(N48="","",IF(MAX(IFERROR(INDEX(Tarifas!$B$3:$F$65,MATCH(K48,Tarifas!$A$3:$A$65,0),MATCH(N48,Tarifas!$B$2:$F$2,0)),0),IFERROR(INDEX(Tarifas!$B$3:$F$65,MATCH(L48,Tarifas!$A$3:$A$65,0),MATCH(N48,Tarifas!$B$2:$F$2,0)),0),IFERROR(INDEX(Tarifas!$B$3:$F$65,MATCH(M48,Tarifas!$A$3:$A$65,0),MATCH(N48,Tarifas!$B$2:$F$2,0)),0))=0,"",MAX(IFERROR(INDEX(Tarifas!$B$3:$F$65,MATCH(K48,Tarifas!$A$3:$A$65,0),MATCH(N48,Tarifas!$B$2:$F$2,0)),0),IFERROR(INDEX(Tarifas!$B$3:$F$65,MATCH(L48,Tarifas!$A$3:$A$65,0),MATCH(N48,Tarifas!$B$2:$F$2,0)),0),IFERROR(INDEX(Tarifas!$B$3:$F$65,MATCH(M48,Tarifas!$A$3:$A$65,0),MATCH(N48,Tarifas!$B$2:$F$2,0)),0)))),"")</f>
        <v/>
      </c>
      <c r="P48" s="27">
        <f>IF(NOT(OR(B48&lt;&gt;"",C48&lt;&gt;"",D48&lt;&gt;"",E48&lt;&gt;"",F48&lt;&gt;"",G48&lt;&gt;"",H48&lt;&gt;"",I48&lt;&gt;"",J48&lt;&gt;"",K48&lt;&gt;"",N48&lt;&gt;"")),"",IF(AND(B48&lt;&gt;"",C48&lt;&gt;"",D48&lt;&gt;"",E48&lt;&gt;"",F48&lt;&gt;"",G48&lt;&gt;"",H48&lt;&gt;"",I48&lt;&gt;"",J48&lt;&gt;"",K48&lt;&gt;"",N48&lt;&gt;""),"✓ Completo","⚠ Faltan datos"))</f>
        <v/>
      </c>
      <c r="Q48" s="24" t="n"/>
    </row>
    <row r="49" ht="21" customHeight="1">
      <c r="A49" s="13" t="n">
        <v>43</v>
      </c>
      <c r="B49" s="14" t="n"/>
      <c r="C49" s="14" t="n"/>
      <c r="D49" s="14" t="n"/>
      <c r="E49" s="14" t="n"/>
      <c r="F49" s="15" t="n"/>
      <c r="G49" s="14" t="n"/>
      <c r="H49" s="16" t="n"/>
      <c r="I49" s="17" t="n"/>
      <c r="J49" s="17" t="n"/>
      <c r="K49" s="18" t="n"/>
      <c r="L49" s="14" t="n"/>
      <c r="M49" s="14" t="n"/>
      <c r="N49" s="16" t="n"/>
      <c r="O49" s="19">
        <f>IFERROR(IF(N49="","",IF(MAX(IFERROR(INDEX(Tarifas!$B$3:$F$65,MATCH(K49,Tarifas!$A$3:$A$65,0),MATCH(N49,Tarifas!$B$2:$F$2,0)),0),IFERROR(INDEX(Tarifas!$B$3:$F$65,MATCH(L49,Tarifas!$A$3:$A$65,0),MATCH(N49,Tarifas!$B$2:$F$2,0)),0),IFERROR(INDEX(Tarifas!$B$3:$F$65,MATCH(M49,Tarifas!$A$3:$A$65,0),MATCH(N49,Tarifas!$B$2:$F$2,0)),0))=0,"",MAX(IFERROR(INDEX(Tarifas!$B$3:$F$65,MATCH(K49,Tarifas!$A$3:$A$65,0),MATCH(N49,Tarifas!$B$2:$F$2,0)),0),IFERROR(INDEX(Tarifas!$B$3:$F$65,MATCH(L49,Tarifas!$A$3:$A$65,0),MATCH(N49,Tarifas!$B$2:$F$2,0)),0),IFERROR(INDEX(Tarifas!$B$3:$F$65,MATCH(M49,Tarifas!$A$3:$A$65,0),MATCH(N49,Tarifas!$B$2:$F$2,0)),0)))),"")</f>
        <v/>
      </c>
      <c r="P49" s="20">
        <f>IF(NOT(OR(B49&lt;&gt;"",C49&lt;&gt;"",D49&lt;&gt;"",E49&lt;&gt;"",F49&lt;&gt;"",G49&lt;&gt;"",H49&lt;&gt;"",I49&lt;&gt;"",J49&lt;&gt;"",K49&lt;&gt;"",N49&lt;&gt;"")),"",IF(AND(B49&lt;&gt;"",C49&lt;&gt;"",D49&lt;&gt;"",E49&lt;&gt;"",F49&lt;&gt;"",G49&lt;&gt;"",H49&lt;&gt;"",I49&lt;&gt;"",J49&lt;&gt;"",K49&lt;&gt;"",N49&lt;&gt;""),"✓ Completo","⚠ Faltan datos"))</f>
        <v/>
      </c>
      <c r="Q49" s="16" t="n"/>
    </row>
    <row r="50" ht="21" customHeight="1">
      <c r="A50" s="21" t="n">
        <v>44</v>
      </c>
      <c r="B50" s="22" t="n"/>
      <c r="C50" s="22" t="n"/>
      <c r="D50" s="22" t="n"/>
      <c r="E50" s="22" t="n"/>
      <c r="F50" s="23" t="n"/>
      <c r="G50" s="22" t="n"/>
      <c r="H50" s="24" t="n"/>
      <c r="I50" s="25" t="n"/>
      <c r="J50" s="25" t="n"/>
      <c r="K50" s="26" t="n"/>
      <c r="L50" s="22" t="n"/>
      <c r="M50" s="22" t="n"/>
      <c r="N50" s="24" t="n"/>
      <c r="O50" s="19">
        <f>IFERROR(IF(N50="","",IF(MAX(IFERROR(INDEX(Tarifas!$B$3:$F$65,MATCH(K50,Tarifas!$A$3:$A$65,0),MATCH(N50,Tarifas!$B$2:$F$2,0)),0),IFERROR(INDEX(Tarifas!$B$3:$F$65,MATCH(L50,Tarifas!$A$3:$A$65,0),MATCH(N50,Tarifas!$B$2:$F$2,0)),0),IFERROR(INDEX(Tarifas!$B$3:$F$65,MATCH(M50,Tarifas!$A$3:$A$65,0),MATCH(N50,Tarifas!$B$2:$F$2,0)),0))=0,"",MAX(IFERROR(INDEX(Tarifas!$B$3:$F$65,MATCH(K50,Tarifas!$A$3:$A$65,0),MATCH(N50,Tarifas!$B$2:$F$2,0)),0),IFERROR(INDEX(Tarifas!$B$3:$F$65,MATCH(L50,Tarifas!$A$3:$A$65,0),MATCH(N50,Tarifas!$B$2:$F$2,0)),0),IFERROR(INDEX(Tarifas!$B$3:$F$65,MATCH(M50,Tarifas!$A$3:$A$65,0),MATCH(N50,Tarifas!$B$2:$F$2,0)),0)))),"")</f>
        <v/>
      </c>
      <c r="P50" s="27">
        <f>IF(NOT(OR(B50&lt;&gt;"",C50&lt;&gt;"",D50&lt;&gt;"",E50&lt;&gt;"",F50&lt;&gt;"",G50&lt;&gt;"",H50&lt;&gt;"",I50&lt;&gt;"",J50&lt;&gt;"",K50&lt;&gt;"",N50&lt;&gt;"")),"",IF(AND(B50&lt;&gt;"",C50&lt;&gt;"",D50&lt;&gt;"",E50&lt;&gt;"",F50&lt;&gt;"",G50&lt;&gt;"",H50&lt;&gt;"",I50&lt;&gt;"",J50&lt;&gt;"",K50&lt;&gt;"",N50&lt;&gt;""),"✓ Completo","⚠ Faltan datos"))</f>
        <v/>
      </c>
      <c r="Q50" s="24" t="n"/>
    </row>
    <row r="51" ht="21" customHeight="1">
      <c r="A51" s="13" t="n">
        <v>45</v>
      </c>
      <c r="B51" s="14" t="n"/>
      <c r="C51" s="14" t="n"/>
      <c r="D51" s="14" t="n"/>
      <c r="E51" s="14" t="n"/>
      <c r="F51" s="15" t="n"/>
      <c r="G51" s="14" t="n"/>
      <c r="H51" s="16" t="n"/>
      <c r="I51" s="17" t="n"/>
      <c r="J51" s="17" t="n"/>
      <c r="K51" s="18" t="n"/>
      <c r="L51" s="14" t="n"/>
      <c r="M51" s="14" t="n"/>
      <c r="N51" s="16" t="n"/>
      <c r="O51" s="19">
        <f>IFERROR(IF(N51="","",IF(MAX(IFERROR(INDEX(Tarifas!$B$3:$F$65,MATCH(K51,Tarifas!$A$3:$A$65,0),MATCH(N51,Tarifas!$B$2:$F$2,0)),0),IFERROR(INDEX(Tarifas!$B$3:$F$65,MATCH(L51,Tarifas!$A$3:$A$65,0),MATCH(N51,Tarifas!$B$2:$F$2,0)),0),IFERROR(INDEX(Tarifas!$B$3:$F$65,MATCH(M51,Tarifas!$A$3:$A$65,0),MATCH(N51,Tarifas!$B$2:$F$2,0)),0))=0,"",MAX(IFERROR(INDEX(Tarifas!$B$3:$F$65,MATCH(K51,Tarifas!$A$3:$A$65,0),MATCH(N51,Tarifas!$B$2:$F$2,0)),0),IFERROR(INDEX(Tarifas!$B$3:$F$65,MATCH(L51,Tarifas!$A$3:$A$65,0),MATCH(N51,Tarifas!$B$2:$F$2,0)),0),IFERROR(INDEX(Tarifas!$B$3:$F$65,MATCH(M51,Tarifas!$A$3:$A$65,0),MATCH(N51,Tarifas!$B$2:$F$2,0)),0)))),"")</f>
        <v/>
      </c>
      <c r="P51" s="20">
        <f>IF(NOT(OR(B51&lt;&gt;"",C51&lt;&gt;"",D51&lt;&gt;"",E51&lt;&gt;"",F51&lt;&gt;"",G51&lt;&gt;"",H51&lt;&gt;"",I51&lt;&gt;"",J51&lt;&gt;"",K51&lt;&gt;"",N51&lt;&gt;"")),"",IF(AND(B51&lt;&gt;"",C51&lt;&gt;"",D51&lt;&gt;"",E51&lt;&gt;"",F51&lt;&gt;"",G51&lt;&gt;"",H51&lt;&gt;"",I51&lt;&gt;"",J51&lt;&gt;"",K51&lt;&gt;"",N51&lt;&gt;""),"✓ Completo","⚠ Faltan datos"))</f>
        <v/>
      </c>
      <c r="Q51" s="16" t="n"/>
    </row>
    <row r="52" ht="21" customHeight="1">
      <c r="A52" s="21" t="n">
        <v>46</v>
      </c>
      <c r="B52" s="22" t="n"/>
      <c r="C52" s="22" t="n"/>
      <c r="D52" s="22" t="n"/>
      <c r="E52" s="22" t="n"/>
      <c r="F52" s="23" t="n"/>
      <c r="G52" s="22" t="n"/>
      <c r="H52" s="24" t="n"/>
      <c r="I52" s="25" t="n"/>
      <c r="J52" s="25" t="n"/>
      <c r="K52" s="26" t="n"/>
      <c r="L52" s="22" t="n"/>
      <c r="M52" s="22" t="n"/>
      <c r="N52" s="24" t="n"/>
      <c r="O52" s="19">
        <f>IFERROR(IF(N52="","",IF(MAX(IFERROR(INDEX(Tarifas!$B$3:$F$65,MATCH(K52,Tarifas!$A$3:$A$65,0),MATCH(N52,Tarifas!$B$2:$F$2,0)),0),IFERROR(INDEX(Tarifas!$B$3:$F$65,MATCH(L52,Tarifas!$A$3:$A$65,0),MATCH(N52,Tarifas!$B$2:$F$2,0)),0),IFERROR(INDEX(Tarifas!$B$3:$F$65,MATCH(M52,Tarifas!$A$3:$A$65,0),MATCH(N52,Tarifas!$B$2:$F$2,0)),0))=0,"",MAX(IFERROR(INDEX(Tarifas!$B$3:$F$65,MATCH(K52,Tarifas!$A$3:$A$65,0),MATCH(N52,Tarifas!$B$2:$F$2,0)),0),IFERROR(INDEX(Tarifas!$B$3:$F$65,MATCH(L52,Tarifas!$A$3:$A$65,0),MATCH(N52,Tarifas!$B$2:$F$2,0)),0),IFERROR(INDEX(Tarifas!$B$3:$F$65,MATCH(M52,Tarifas!$A$3:$A$65,0),MATCH(N52,Tarifas!$B$2:$F$2,0)),0)))),"")</f>
        <v/>
      </c>
      <c r="P52" s="27">
        <f>IF(NOT(OR(B52&lt;&gt;"",C52&lt;&gt;"",D52&lt;&gt;"",E52&lt;&gt;"",F52&lt;&gt;"",G52&lt;&gt;"",H52&lt;&gt;"",I52&lt;&gt;"",J52&lt;&gt;"",K52&lt;&gt;"",N52&lt;&gt;"")),"",IF(AND(B52&lt;&gt;"",C52&lt;&gt;"",D52&lt;&gt;"",E52&lt;&gt;"",F52&lt;&gt;"",G52&lt;&gt;"",H52&lt;&gt;"",I52&lt;&gt;"",J52&lt;&gt;"",K52&lt;&gt;"",N52&lt;&gt;""),"✓ Completo","⚠ Faltan datos"))</f>
        <v/>
      </c>
      <c r="Q52" s="24" t="n"/>
    </row>
    <row r="53" ht="21" customHeight="1">
      <c r="A53" s="13" t="n">
        <v>47</v>
      </c>
      <c r="B53" s="14" t="n"/>
      <c r="C53" s="14" t="n"/>
      <c r="D53" s="14" t="n"/>
      <c r="E53" s="14" t="n"/>
      <c r="F53" s="15" t="n"/>
      <c r="G53" s="14" t="n"/>
      <c r="H53" s="16" t="n"/>
      <c r="I53" s="17" t="n"/>
      <c r="J53" s="17" t="n"/>
      <c r="K53" s="18" t="n"/>
      <c r="L53" s="14" t="n"/>
      <c r="M53" s="14" t="n"/>
      <c r="N53" s="16" t="n"/>
      <c r="O53" s="19">
        <f>IFERROR(IF(N53="","",IF(MAX(IFERROR(INDEX(Tarifas!$B$3:$F$65,MATCH(K53,Tarifas!$A$3:$A$65,0),MATCH(N53,Tarifas!$B$2:$F$2,0)),0),IFERROR(INDEX(Tarifas!$B$3:$F$65,MATCH(L53,Tarifas!$A$3:$A$65,0),MATCH(N53,Tarifas!$B$2:$F$2,0)),0),IFERROR(INDEX(Tarifas!$B$3:$F$65,MATCH(M53,Tarifas!$A$3:$A$65,0),MATCH(N53,Tarifas!$B$2:$F$2,0)),0))=0,"",MAX(IFERROR(INDEX(Tarifas!$B$3:$F$65,MATCH(K53,Tarifas!$A$3:$A$65,0),MATCH(N53,Tarifas!$B$2:$F$2,0)),0),IFERROR(INDEX(Tarifas!$B$3:$F$65,MATCH(L53,Tarifas!$A$3:$A$65,0),MATCH(N53,Tarifas!$B$2:$F$2,0)),0),IFERROR(INDEX(Tarifas!$B$3:$F$65,MATCH(M53,Tarifas!$A$3:$A$65,0),MATCH(N53,Tarifas!$B$2:$F$2,0)),0)))),"")</f>
        <v/>
      </c>
      <c r="P53" s="20">
        <f>IF(NOT(OR(B53&lt;&gt;"",C53&lt;&gt;"",D53&lt;&gt;"",E53&lt;&gt;"",F53&lt;&gt;"",G53&lt;&gt;"",H53&lt;&gt;"",I53&lt;&gt;"",J53&lt;&gt;"",K53&lt;&gt;"",N53&lt;&gt;"")),"",IF(AND(B53&lt;&gt;"",C53&lt;&gt;"",D53&lt;&gt;"",E53&lt;&gt;"",F53&lt;&gt;"",G53&lt;&gt;"",H53&lt;&gt;"",I53&lt;&gt;"",J53&lt;&gt;"",K53&lt;&gt;"",N53&lt;&gt;""),"✓ Completo","⚠ Faltan datos"))</f>
        <v/>
      </c>
      <c r="Q53" s="16" t="n"/>
    </row>
    <row r="55" ht="30" customHeight="1">
      <c r="A55" s="28" t="inlineStr">
        <is>
          <t>RESUMEN</t>
        </is>
      </c>
      <c r="B55" s="29" t="n"/>
      <c r="C55" s="29" t="n"/>
      <c r="D55" s="29" t="n"/>
      <c r="E55" s="29" t="n"/>
      <c r="F55" s="29" t="n"/>
      <c r="G55" s="29" t="n"/>
      <c r="H55" s="29" t="n"/>
      <c r="I55" s="29" t="n"/>
      <c r="J55" s="29" t="n"/>
      <c r="K55" s="30" t="inlineStr">
        <is>
          <t>Pacientes asegurados:</t>
        </is>
      </c>
      <c r="L55" s="31">
        <f>COUNTA(C7:C53)</f>
        <v/>
      </c>
      <c r="M55" s="32" t="inlineStr">
        <is>
          <t>PRIMA TOTAL:</t>
        </is>
      </c>
      <c r="N55" s="29" t="n"/>
      <c r="O55" s="33">
        <f>SUM(O7:O53)</f>
        <v/>
      </c>
      <c r="P55" s="34">
        <f>COUNTIF(P7:P53,"✓ Completo")&amp;" OK"</f>
        <v/>
      </c>
      <c r="Q55" s="34">
        <f>COUNTA(Q7:Q53)&amp;" con póliza"</f>
        <v/>
      </c>
    </row>
    <row r="57" ht="19.95" customHeight="1">
      <c r="A57" s="35" t="inlineStr">
        <is>
          <r>
            <rPr>
              <rFont val="Calibri"/>
              <b val="1"/>
              <color rgb="FF9A6A00"/>
              <sz val="9"/>
            </rPr>
            <t>⚠ El Nº de póliza lo asigna medassure: cuando una fila tiene póliza, el paciente queda marcado en verde.</t>
          </r>
        </is>
      </c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</row>
    <row r="58" ht="34.05" customHeight="1">
      <c r="A58" s="37" t="inlineStr">
        <is>
          <t>Nota — Hasta 3 tratamientos sin recargo — la prima corresponde al tratamiento de mayor importe según la duración elegida.   ·   «✓ Completo» requiere todos los campos marcados con * (tratamientos 2–3 opcionales).   ·   Comunique cualquier complicación en ≤ 7 días a siniestros@iberassekuranz.es (Tel. 91 781 56 32).   ·   Las altas de diciembre se pueden enviar hasta el 5 de enero.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0" formatCells="0" formatRows="0" sort="0"/>
  <mergeCells count="10">
    <mergeCell ref="A58:Q58"/>
    <mergeCell ref="A3:Q3"/>
    <mergeCell ref="M55:N55"/>
    <mergeCell ref="A4:Q4"/>
    <mergeCell ref="A57:Q57"/>
    <mergeCell ref="A2:Q2"/>
    <mergeCell ref="A55:J55"/>
    <mergeCell ref="C5:J5"/>
    <mergeCell ref="K5:O5"/>
    <mergeCell ref="A1:Q1"/>
  </mergeCells>
  <conditionalFormatting sqref="B7:K53 N7:N53">
    <cfRule type="expression" priority="1" dxfId="0">
      <formula>AND(OR($B7&lt;&gt;"",$C7&lt;&gt;"",$D7&lt;&gt;"",$E7&lt;&gt;"",$F7&lt;&gt;"",$G7&lt;&gt;"",$H7&lt;&gt;"",$I7&lt;&gt;"",$J7&lt;&gt;"",$K7&lt;&gt;"",$N7&lt;&gt;""),B7="")</formula>
    </cfRule>
  </conditionalFormatting>
  <conditionalFormatting sqref="C7:D53">
    <cfRule type="expression" priority="2" dxfId="1">
      <formula>$Q7&lt;&gt;""</formula>
    </cfRule>
  </conditionalFormatting>
  <conditionalFormatting sqref="Q7:Q53">
    <cfRule type="expression" priority="3" dxfId="2">
      <formula>$Q7&lt;&gt;""</formula>
    </cfRule>
  </conditionalFormatting>
  <conditionalFormatting sqref="P7:P53">
    <cfRule type="containsText" priority="4" operator="containsText" dxfId="3" text="Completo">
      <formula>NOT(ISERROR(SEARCH("Completo",P7)))</formula>
    </cfRule>
    <cfRule type="containsText" priority="5" operator="containsText" dxfId="4" text="Faltan">
      <formula>NOT(ISERROR(SEARCH("Faltan",P7)))</formula>
    </cfRule>
  </conditionalFormatting>
  <dataValidations count="7">
    <dataValidation sqref="B7:B53" showDropDown="0" showInputMessage="1" showErrorMessage="0" allowBlank="1" promptTitle="Cirujano/a" prompt="Elija el cirujano/a de la lista desplegable ▼" type="list">
      <formula1>"Dra. Nazaret Ruiz López,Dr. Roberto Miranda López"</formula1>
    </dataValidation>
    <dataValidation sqref="E7:E53" showDropDown="0" showInputMessage="1" showErrorMessage="0" allowBlank="1" promptTitle="Dirección" prompt="Escriba calle y número. Ej.: C. Balmes 12, 3º 2ª" type="textLength" operator="greaterThan">
      <formula1>0</formula1>
    </dataValidation>
    <dataValidation sqref="I7:I53" showDropDown="0" showInputMessage="1" showErrorMessage="0" allowBlank="1" promptTitle="Fecha" prompt="Fecha de nacimiento (dd.mm.aaaa)"/>
    <dataValidation sqref="J7:J53" showDropDown="0" showInputMessage="1" showErrorMessage="0" allowBlank="1" promptTitle="Fecha" prompt="Fecha de operación (dd.mm.aaaa)"/>
    <dataValidation sqref="K7:K53" showDropDown="0" showInputMessage="1" showErrorMessage="0" allowBlank="1" promptTitle="Tratamiento" prompt="Elija un tratamiento de la lista desplegable ▼" type="list">
      <formula1>Tratamientos</formula1>
    </dataValidation>
    <dataValidation sqref="L7:M53" showDropDown="0" showInputMessage="0" showErrorMessage="0" allowBlank="1" promptTitle="Tratamiento" prompt="Elija un tratamiento de la lista desplegable ▼" type="list">
      <formula1>Tratamientos</formula1>
    </dataValidation>
    <dataValidation sqref="N7:N53" showDropDown="0" showInputMessage="1" showErrorMessage="0" allowBlank="1" promptTitle="Duración" prompt="Elija la duración: de 1 a 5 años" type="list">
      <formula1>Duraciones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FF8A8F98"/>
    <outlinePr summaryBelow="1" summaryRight="1"/>
    <pageSetUpPr/>
  </sheetPr>
  <dimension ref="A1:F65"/>
  <sheetViews>
    <sheetView showGridLines="0" tabSelected="0" workbookViewId="0">
      <selection activeCell="A1" sqref="A1"/>
    </sheetView>
  </sheetViews>
  <sheetFormatPr baseColWidth="8" defaultRowHeight="15"/>
  <cols>
    <col width="7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30" customHeight="1">
      <c r="A1" s="38" t="inlineStr">
        <is>
          <r>
            <rPr>
              <rFont val="Calibri"/>
              <b val="1"/>
              <color rgb="FFD9A441"/>
              <sz val="16"/>
            </rPr>
            <t>medassure</t>
          </r>
          <r>
            <rPr>
              <rFont val="Calibri"/>
              <color rgb="FFFFFFFF"/>
              <sz val="12"/>
            </rPr>
            <t xml:space="preserve">   ·   Tabla de tarifas (referencia · bloqueada)</t>
          </r>
        </is>
      </c>
    </row>
    <row r="2" ht="22.05" customHeight="1">
      <c r="A2" s="39" t="inlineStr">
        <is>
          <t>Tratamiento</t>
        </is>
      </c>
      <c r="B2" s="40" t="inlineStr">
        <is>
          <t>1 año</t>
        </is>
      </c>
      <c r="C2" s="40" t="inlineStr">
        <is>
          <t>2 años</t>
        </is>
      </c>
      <c r="D2" s="40" t="inlineStr">
        <is>
          <t>3 años</t>
        </is>
      </c>
      <c r="E2" s="40" t="inlineStr">
        <is>
          <t>4 años</t>
        </is>
      </c>
      <c r="F2" s="40" t="inlineStr">
        <is>
          <t>5 años</t>
        </is>
      </c>
    </row>
    <row r="3">
      <c r="A3" s="41" t="inlineStr">
        <is>
          <t>Abdominoplastia</t>
        </is>
      </c>
      <c r="B3" s="42" t="n">
        <v>169</v>
      </c>
      <c r="C3" s="42" t="n">
        <v>218</v>
      </c>
      <c r="D3" s="42" t="n">
        <v>267</v>
      </c>
      <c r="E3" s="42" t="n">
        <v>316</v>
      </c>
      <c r="F3" s="42" t="n">
        <v>365</v>
      </c>
    </row>
    <row r="4">
      <c r="A4" s="43" t="inlineStr">
        <is>
          <t>Aumento de glúteos con grasa autóloga</t>
        </is>
      </c>
      <c r="B4" s="44" t="n">
        <v>169</v>
      </c>
      <c r="C4" s="44" t="n">
        <v>218</v>
      </c>
      <c r="D4" s="44" t="n">
        <v>267</v>
      </c>
      <c r="E4" s="44" t="n">
        <v>316</v>
      </c>
      <c r="F4" s="44" t="n">
        <v>365</v>
      </c>
    </row>
    <row r="5">
      <c r="A5" s="41" t="inlineStr">
        <is>
          <t>Aumento de glúteos con implante</t>
        </is>
      </c>
      <c r="B5" s="42" t="n">
        <v>259</v>
      </c>
      <c r="C5" s="42" t="n">
        <v>398</v>
      </c>
      <c r="D5" s="42" t="n">
        <v>487</v>
      </c>
      <c r="E5" s="42" t="n">
        <v>576</v>
      </c>
      <c r="F5" s="42" t="n">
        <v>665</v>
      </c>
    </row>
    <row r="6">
      <c r="A6" s="43" t="inlineStr">
        <is>
          <t>Aumento de mamas con grasa autóloga</t>
        </is>
      </c>
      <c r="B6" s="44" t="n">
        <v>169</v>
      </c>
      <c r="C6" s="44" t="n">
        <v>218</v>
      </c>
      <c r="D6" s="44" t="n">
        <v>267</v>
      </c>
      <c r="E6" s="44" t="n">
        <v>316</v>
      </c>
      <c r="F6" s="44" t="n">
        <v>365</v>
      </c>
    </row>
    <row r="7">
      <c r="A7" s="41" t="inlineStr">
        <is>
          <t>Aumento de mamas con implantes</t>
        </is>
      </c>
      <c r="B7" s="42" t="n">
        <v>259</v>
      </c>
      <c r="C7" s="42" t="n">
        <v>398</v>
      </c>
      <c r="D7" s="42" t="n">
        <v>487</v>
      </c>
      <c r="E7" s="42" t="n">
        <v>576</v>
      </c>
      <c r="F7" s="42" t="n">
        <v>665</v>
      </c>
    </row>
    <row r="8">
      <c r="A8" s="43" t="inlineStr">
        <is>
          <t>Aumento de mentón con grasa autóloga</t>
        </is>
      </c>
      <c r="B8" s="44" t="n">
        <v>169</v>
      </c>
      <c r="C8" s="44" t="n">
        <v>218</v>
      </c>
      <c r="D8" s="44" t="n">
        <v>267</v>
      </c>
      <c r="E8" s="44" t="n">
        <v>316</v>
      </c>
      <c r="F8" s="44" t="n">
        <v>365</v>
      </c>
    </row>
    <row r="9">
      <c r="A9" s="41" t="inlineStr">
        <is>
          <t>Aumento de pantorrillas con grasa autóloga</t>
        </is>
      </c>
      <c r="B9" s="42" t="n">
        <v>169</v>
      </c>
      <c r="C9" s="42" t="n">
        <v>218</v>
      </c>
      <c r="D9" s="42" t="n">
        <v>267</v>
      </c>
      <c r="E9" s="42" t="n">
        <v>316</v>
      </c>
      <c r="F9" s="42" t="n">
        <v>365</v>
      </c>
    </row>
    <row r="10">
      <c r="A10" s="43" t="inlineStr">
        <is>
          <t>Aumento de pómulos con grasa autóloga</t>
        </is>
      </c>
      <c r="B10" s="44" t="n">
        <v>169</v>
      </c>
      <c r="C10" s="44" t="n">
        <v>218</v>
      </c>
      <c r="D10" s="44" t="n">
        <v>267</v>
      </c>
      <c r="E10" s="44" t="n">
        <v>316</v>
      </c>
      <c r="F10" s="44" t="n">
        <v>365</v>
      </c>
    </row>
    <row r="11">
      <c r="A11" s="41" t="inlineStr">
        <is>
          <t>Balón intragástrico (balón gástrico)</t>
        </is>
      </c>
      <c r="B11" s="42" t="n">
        <v>169</v>
      </c>
      <c r="C11" s="42" t="n">
        <v>218</v>
      </c>
      <c r="D11" s="42" t="n">
        <v>267</v>
      </c>
      <c r="E11" s="42" t="n">
        <v>316</v>
      </c>
      <c r="F11" s="42" t="n">
        <v>365</v>
      </c>
    </row>
    <row r="12">
      <c r="A12" s="43" t="inlineStr">
        <is>
          <t>Bichectomía (extracción de grasa de las mejillas)</t>
        </is>
      </c>
      <c r="B12" s="44" t="n">
        <v>99</v>
      </c>
      <c r="C12" s="44" t="n">
        <v>128</v>
      </c>
      <c r="D12" s="44" t="n">
        <v>157</v>
      </c>
      <c r="E12" s="44" t="n">
        <v>186</v>
      </c>
      <c r="F12" s="44" t="n">
        <v>215</v>
      </c>
    </row>
    <row r="13">
      <c r="A13" s="41" t="inlineStr">
        <is>
          <t>Blefaroplastia (superior / inferior)</t>
        </is>
      </c>
      <c r="B13" s="42" t="n">
        <v>49</v>
      </c>
      <c r="C13" s="42" t="n">
        <v>98</v>
      </c>
      <c r="D13" s="42" t="n">
        <v>127</v>
      </c>
      <c r="E13" s="42" t="n">
        <v>156</v>
      </c>
      <c r="F13" s="42" t="n">
        <v>185</v>
      </c>
    </row>
    <row r="14">
      <c r="A14" s="43" t="inlineStr">
        <is>
          <t>Cirugía del pezón</t>
        </is>
      </c>
      <c r="B14" s="44" t="n">
        <v>169</v>
      </c>
      <c r="C14" s="44" t="n">
        <v>218</v>
      </c>
      <c r="D14" s="44" t="n">
        <v>267</v>
      </c>
      <c r="E14" s="44" t="n">
        <v>316</v>
      </c>
      <c r="F14" s="44" t="n">
        <v>365</v>
      </c>
    </row>
    <row r="15">
      <c r="A15" s="41" t="inlineStr">
        <is>
          <t>Cirugía íntima femenina (ninfoplastia, labioplastia, vaginoplastia)</t>
        </is>
      </c>
      <c r="B15" s="42" t="n">
        <v>169</v>
      </c>
      <c r="C15" s="42" t="n">
        <v>218</v>
      </c>
      <c r="D15" s="42" t="n">
        <v>267</v>
      </c>
      <c r="E15" s="42" t="n">
        <v>316</v>
      </c>
      <c r="F15" s="42" t="n">
        <v>365</v>
      </c>
    </row>
    <row r="16">
      <c r="A16" s="43" t="inlineStr">
        <is>
          <t>Cirugía íntima masculina (alargamiento de pene, fimosis, remodelación escrotal)</t>
        </is>
      </c>
      <c r="B16" s="44" t="n">
        <v>169</v>
      </c>
      <c r="C16" s="44" t="n">
        <v>218</v>
      </c>
      <c r="D16" s="44" t="n">
        <v>267</v>
      </c>
      <c r="E16" s="44" t="n">
        <v>316</v>
      </c>
      <c r="F16" s="44" t="n">
        <v>365</v>
      </c>
    </row>
    <row r="17">
      <c r="A17" s="41" t="inlineStr">
        <is>
          <t>Cirugía refractiva con láser (LASIK, LASEK, PRK, SMILE)</t>
        </is>
      </c>
      <c r="B17" s="42" t="n">
        <v>99</v>
      </c>
      <c r="C17" s="42" t="n">
        <v>128</v>
      </c>
      <c r="D17" s="42" t="n">
        <v>157</v>
      </c>
      <c r="E17" s="42" t="n">
        <v>186</v>
      </c>
      <c r="F17" s="42" t="n">
        <v>215</v>
      </c>
    </row>
    <row r="18">
      <c r="A18" s="43" t="inlineStr">
        <is>
          <t>Corrección de cicatrices</t>
        </is>
      </c>
      <c r="B18" s="44" t="n">
        <v>169</v>
      </c>
      <c r="C18" s="44" t="n">
        <v>218</v>
      </c>
      <c r="D18" s="44" t="n">
        <v>267</v>
      </c>
      <c r="E18" s="44" t="n">
        <v>316</v>
      </c>
      <c r="F18" s="44" t="n">
        <v>365</v>
      </c>
    </row>
    <row r="19">
      <c r="A19" s="41" t="inlineStr">
        <is>
          <t>Corrección del lóbulo de la oreja</t>
        </is>
      </c>
      <c r="B19" s="42" t="n">
        <v>69</v>
      </c>
      <c r="C19" s="42" t="n">
        <v>98</v>
      </c>
      <c r="D19" s="42" t="n">
        <v>127</v>
      </c>
      <c r="E19" s="42" t="n">
        <v>156</v>
      </c>
      <c r="F19" s="42" t="n">
        <v>185</v>
      </c>
    </row>
    <row r="20">
      <c r="A20" s="43" t="inlineStr">
        <is>
          <t>Eliminación de glándulas sudoríparas</t>
        </is>
      </c>
      <c r="B20" s="44" t="n">
        <v>169</v>
      </c>
      <c r="C20" s="44" t="n">
        <v>218</v>
      </c>
      <c r="D20" s="44" t="n">
        <v>267</v>
      </c>
      <c r="E20" s="44" t="n">
        <v>316</v>
      </c>
      <c r="F20" s="44" t="n">
        <v>365</v>
      </c>
    </row>
    <row r="21">
      <c r="A21" s="41" t="inlineStr">
        <is>
          <t>Ginecomastia (reducción mamaria masculina)</t>
        </is>
      </c>
      <c r="B21" s="42" t="n">
        <v>169</v>
      </c>
      <c r="C21" s="42" t="n">
        <v>218</v>
      </c>
      <c r="D21" s="42" t="n">
        <v>267</v>
      </c>
      <c r="E21" s="42" t="n">
        <v>316</v>
      </c>
      <c r="F21" s="42" t="n">
        <v>365</v>
      </c>
    </row>
    <row r="22">
      <c r="A22" s="43" t="inlineStr">
        <is>
          <t>Implante de mentón (mentoplastia con implante)</t>
        </is>
      </c>
      <c r="B22" s="44" t="n">
        <v>259</v>
      </c>
      <c r="C22" s="44" t="n">
        <v>398</v>
      </c>
      <c r="D22" s="44" t="n">
        <v>487</v>
      </c>
      <c r="E22" s="44" t="n">
        <v>576</v>
      </c>
      <c r="F22" s="44" t="n">
        <v>665</v>
      </c>
    </row>
    <row r="23">
      <c r="A23" s="41" t="inlineStr">
        <is>
          <t>Implante de pantorrillas</t>
        </is>
      </c>
      <c r="B23" s="42" t="n">
        <v>259</v>
      </c>
      <c r="C23" s="42" t="n">
        <v>398</v>
      </c>
      <c r="D23" s="42" t="n">
        <v>487</v>
      </c>
      <c r="E23" s="42" t="n">
        <v>576</v>
      </c>
      <c r="F23" s="42" t="n">
        <v>665</v>
      </c>
    </row>
    <row r="24">
      <c r="A24" s="43" t="inlineStr">
        <is>
          <t>Implante de pómulos (implante malar)</t>
        </is>
      </c>
      <c r="B24" s="44" t="n">
        <v>259</v>
      </c>
      <c r="C24" s="44" t="n">
        <v>398</v>
      </c>
      <c r="D24" s="44" t="n">
        <v>487</v>
      </c>
      <c r="E24" s="44" t="n">
        <v>576</v>
      </c>
      <c r="F24" s="44" t="n">
        <v>665</v>
      </c>
    </row>
    <row r="25">
      <c r="A25" s="41" t="inlineStr">
        <is>
          <t>Intercambio de lente intraocular (cirugía refractiva)</t>
        </is>
      </c>
      <c r="B25" s="42" t="n">
        <v>99</v>
      </c>
      <c r="C25" s="42" t="n">
        <v>128</v>
      </c>
      <c r="D25" s="42" t="n">
        <v>157</v>
      </c>
      <c r="E25" s="42" t="n">
        <v>186</v>
      </c>
      <c r="F25" s="42" t="n">
        <v>215</v>
      </c>
    </row>
    <row r="26">
      <c r="A26" s="43" t="inlineStr">
        <is>
          <t>Labioplastia</t>
        </is>
      </c>
      <c r="B26" s="44" t="n">
        <v>99</v>
      </c>
      <c r="C26" s="44" t="n">
        <v>128</v>
      </c>
      <c r="D26" s="44" t="n">
        <v>157</v>
      </c>
      <c r="E26" s="44" t="n">
        <v>186</v>
      </c>
      <c r="F26" s="44" t="n">
        <v>215</v>
      </c>
    </row>
    <row r="27">
      <c r="A27" s="41" t="inlineStr">
        <is>
          <t>Lifting cervical (lifting de cuello)</t>
        </is>
      </c>
      <c r="B27" s="42" t="n">
        <v>99</v>
      </c>
      <c r="C27" s="42" t="n">
        <v>128</v>
      </c>
      <c r="D27" s="42" t="n">
        <v>157</v>
      </c>
      <c r="E27" s="42" t="n">
        <v>186</v>
      </c>
      <c r="F27" s="42" t="n">
        <v>215</v>
      </c>
    </row>
    <row r="28">
      <c r="A28" s="43" t="inlineStr">
        <is>
          <t>Lifting cervical con grasa autóloga</t>
        </is>
      </c>
      <c r="B28" s="44" t="n">
        <v>99</v>
      </c>
      <c r="C28" s="44" t="n">
        <v>128</v>
      </c>
      <c r="D28" s="44" t="n">
        <v>157</v>
      </c>
      <c r="E28" s="44" t="n">
        <v>186</v>
      </c>
      <c r="F28" s="44" t="n">
        <v>215</v>
      </c>
    </row>
    <row r="29">
      <c r="A29" s="41" t="inlineStr">
        <is>
          <t>Lifting con hilos tensores</t>
        </is>
      </c>
      <c r="B29" s="42" t="n">
        <v>99</v>
      </c>
      <c r="C29" s="42" t="n">
        <v>128</v>
      </c>
      <c r="D29" s="42" t="n">
        <v>157</v>
      </c>
      <c r="E29" s="42" t="n">
        <v>186</v>
      </c>
      <c r="F29" s="42" t="n">
        <v>215</v>
      </c>
    </row>
    <row r="30">
      <c r="A30" s="43" t="inlineStr">
        <is>
          <t>Lifting corporal (Bodylift)</t>
        </is>
      </c>
      <c r="B30" s="44" t="n">
        <v>169</v>
      </c>
      <c r="C30" s="44" t="n">
        <v>218</v>
      </c>
      <c r="D30" s="44" t="n">
        <v>267</v>
      </c>
      <c r="E30" s="44" t="n">
        <v>316</v>
      </c>
      <c r="F30" s="44" t="n">
        <v>365</v>
      </c>
    </row>
    <row r="31">
      <c r="A31" s="41" t="inlineStr">
        <is>
          <t>Lifting de brazos (braquioplastia)</t>
        </is>
      </c>
      <c r="B31" s="42" t="n">
        <v>169</v>
      </c>
      <c r="C31" s="42" t="n">
        <v>218</v>
      </c>
      <c r="D31" s="42" t="n">
        <v>267</v>
      </c>
      <c r="E31" s="42" t="n">
        <v>316</v>
      </c>
      <c r="F31" s="42" t="n">
        <v>365</v>
      </c>
    </row>
    <row r="32">
      <c r="A32" s="43" t="inlineStr">
        <is>
          <t>Lifting de glúteos</t>
        </is>
      </c>
      <c r="B32" s="44" t="n">
        <v>169</v>
      </c>
      <c r="C32" s="44" t="n">
        <v>218</v>
      </c>
      <c r="D32" s="44" t="n">
        <v>267</v>
      </c>
      <c r="E32" s="44" t="n">
        <v>316</v>
      </c>
      <c r="F32" s="44" t="n">
        <v>365</v>
      </c>
    </row>
    <row r="33">
      <c r="A33" s="41" t="inlineStr">
        <is>
          <t>Lifting de mentón</t>
        </is>
      </c>
      <c r="B33" s="42" t="n">
        <v>99</v>
      </c>
      <c r="C33" s="42" t="n">
        <v>128</v>
      </c>
      <c r="D33" s="42" t="n">
        <v>157</v>
      </c>
      <c r="E33" s="42" t="n">
        <v>186</v>
      </c>
      <c r="F33" s="42" t="n">
        <v>215</v>
      </c>
    </row>
    <row r="34">
      <c r="A34" s="43" t="inlineStr">
        <is>
          <t>Lifting de muslos (cruroplastia)</t>
        </is>
      </c>
      <c r="B34" s="44" t="n">
        <v>169</v>
      </c>
      <c r="C34" s="44" t="n">
        <v>218</v>
      </c>
      <c r="D34" s="44" t="n">
        <v>267</v>
      </c>
      <c r="E34" s="44" t="n">
        <v>316</v>
      </c>
      <c r="F34" s="44" t="n">
        <v>365</v>
      </c>
    </row>
    <row r="35">
      <c r="A35" s="41" t="inlineStr">
        <is>
          <t>Lifting de papada</t>
        </is>
      </c>
      <c r="B35" s="42" t="n">
        <v>99</v>
      </c>
      <c r="C35" s="42" t="n">
        <v>128</v>
      </c>
      <c r="D35" s="42" t="n">
        <v>157</v>
      </c>
      <c r="E35" s="42" t="n">
        <v>186</v>
      </c>
      <c r="F35" s="42" t="n">
        <v>215</v>
      </c>
    </row>
    <row r="36">
      <c r="A36" s="43" t="inlineStr">
        <is>
          <t>Lifting facial</t>
        </is>
      </c>
      <c r="B36" s="44" t="n">
        <v>99</v>
      </c>
      <c r="C36" s="44" t="n">
        <v>128</v>
      </c>
      <c r="D36" s="44" t="n">
        <v>157</v>
      </c>
      <c r="E36" s="44" t="n">
        <v>186</v>
      </c>
      <c r="F36" s="44" t="n">
        <v>215</v>
      </c>
    </row>
    <row r="37">
      <c r="A37" s="41" t="inlineStr">
        <is>
          <t>Lifting facial con grasa autóloga</t>
        </is>
      </c>
      <c r="B37" s="42" t="n">
        <v>99</v>
      </c>
      <c r="C37" s="42" t="n">
        <v>128</v>
      </c>
      <c r="D37" s="42" t="n">
        <v>157</v>
      </c>
      <c r="E37" s="42" t="n">
        <v>186</v>
      </c>
      <c r="F37" s="42" t="n">
        <v>215</v>
      </c>
    </row>
    <row r="38">
      <c r="A38" s="43" t="inlineStr">
        <is>
          <t>Lifting frontal (elevación de frente y cejas)</t>
        </is>
      </c>
      <c r="B38" s="44" t="n">
        <v>99</v>
      </c>
      <c r="C38" s="44" t="n">
        <v>128</v>
      </c>
      <c r="D38" s="44" t="n">
        <v>157</v>
      </c>
      <c r="E38" s="44" t="n">
        <v>186</v>
      </c>
      <c r="F38" s="44" t="n">
        <v>215</v>
      </c>
    </row>
    <row r="39">
      <c r="A39" s="41" t="inlineStr">
        <is>
          <t>Liposucción / tratamiento de lipedema (1 intervención)</t>
        </is>
      </c>
      <c r="B39" s="42" t="n">
        <v>69</v>
      </c>
      <c r="C39" s="42" t="n">
        <v>98</v>
      </c>
      <c r="D39" s="42" t="n">
        <v>127</v>
      </c>
      <c r="E39" s="42" t="n">
        <v>156</v>
      </c>
      <c r="F39" s="42" t="n">
        <v>185</v>
      </c>
    </row>
    <row r="40">
      <c r="A40" s="43" t="inlineStr">
        <is>
          <t>Liposucción / tratamiento de lipedema (3 intervenciones)</t>
        </is>
      </c>
      <c r="B40" s="44" t="n">
        <v>99</v>
      </c>
      <c r="C40" s="44" t="n">
        <v>128</v>
      </c>
      <c r="D40" s="44" t="n">
        <v>157</v>
      </c>
      <c r="E40" s="44" t="n">
        <v>186</v>
      </c>
      <c r="F40" s="44" t="n">
        <v>215</v>
      </c>
    </row>
    <row r="41">
      <c r="A41" s="41" t="inlineStr">
        <is>
          <t>Liposucción con tensado cutáneo (1 intervención)</t>
        </is>
      </c>
      <c r="B41" s="42" t="n">
        <v>99</v>
      </c>
      <c r="C41" s="42" t="n">
        <v>128</v>
      </c>
      <c r="D41" s="42" t="n">
        <v>157</v>
      </c>
      <c r="E41" s="42" t="n">
        <v>186</v>
      </c>
      <c r="F41" s="42" t="n">
        <v>215</v>
      </c>
    </row>
    <row r="42">
      <c r="A42" s="43" t="inlineStr">
        <is>
          <t>Liposucción con tensado cutáneo (3 intervenciones)</t>
        </is>
      </c>
      <c r="B42" s="44" t="n">
        <v>259</v>
      </c>
      <c r="C42" s="44" t="n">
        <v>398</v>
      </c>
      <c r="D42" s="44" t="n">
        <v>487</v>
      </c>
      <c r="E42" s="44" t="n">
        <v>576</v>
      </c>
      <c r="F42" s="44" t="n">
        <v>665</v>
      </c>
    </row>
    <row r="43">
      <c r="A43" s="41" t="inlineStr">
        <is>
          <t>Mastectomía (extirpación de la mama)</t>
        </is>
      </c>
      <c r="B43" s="42" t="n">
        <v>169</v>
      </c>
      <c r="C43" s="42" t="n">
        <v>218</v>
      </c>
      <c r="D43" s="42" t="n">
        <v>267</v>
      </c>
      <c r="E43" s="42" t="n">
        <v>316</v>
      </c>
      <c r="F43" s="42" t="n">
        <v>365</v>
      </c>
    </row>
    <row r="44">
      <c r="A44" s="43" t="inlineStr">
        <is>
          <t>Mastopexia (elevación de mamas)</t>
        </is>
      </c>
      <c r="B44" s="44" t="n">
        <v>169</v>
      </c>
      <c r="C44" s="44" t="n">
        <v>218</v>
      </c>
      <c r="D44" s="44" t="n">
        <v>267</v>
      </c>
      <c r="E44" s="44" t="n">
        <v>316</v>
      </c>
      <c r="F44" s="44" t="n">
        <v>365</v>
      </c>
    </row>
    <row r="45">
      <c r="A45" s="41" t="inlineStr">
        <is>
          <t>Microneedling (inducción de colágeno)</t>
        </is>
      </c>
      <c r="B45" s="42" t="n">
        <v>99</v>
      </c>
      <c r="C45" s="42" t="n">
        <v>128</v>
      </c>
      <c r="D45" s="42" t="n">
        <v>157</v>
      </c>
      <c r="E45" s="42" t="n">
        <v>186</v>
      </c>
      <c r="F45" s="42" t="n">
        <v>215</v>
      </c>
    </row>
    <row r="46">
      <c r="A46" s="43" t="inlineStr">
        <is>
          <t>Otoplastia</t>
        </is>
      </c>
      <c r="B46" s="44" t="n">
        <v>49</v>
      </c>
      <c r="C46" s="44" t="n">
        <v>98</v>
      </c>
      <c r="D46" s="44" t="n">
        <v>127</v>
      </c>
      <c r="E46" s="44" t="n">
        <v>156</v>
      </c>
      <c r="F46" s="44" t="n">
        <v>185</v>
      </c>
    </row>
    <row r="47">
      <c r="A47" s="41" t="inlineStr">
        <is>
          <t>Recambio de implantes mamarios</t>
        </is>
      </c>
      <c r="B47" s="42" t="n">
        <v>259</v>
      </c>
      <c r="C47" s="42" t="n">
        <v>398</v>
      </c>
      <c r="D47" s="42" t="n">
        <v>487</v>
      </c>
      <c r="E47" s="42" t="n">
        <v>576</v>
      </c>
      <c r="F47" s="42" t="n">
        <v>665</v>
      </c>
    </row>
    <row r="48">
      <c r="A48" s="43" t="inlineStr">
        <is>
          <t>Recolocación de implantes mamarios</t>
        </is>
      </c>
      <c r="B48" s="44" t="n">
        <v>259</v>
      </c>
      <c r="C48" s="44" t="n">
        <v>398</v>
      </c>
      <c r="D48" s="44" t="n">
        <v>487</v>
      </c>
      <c r="E48" s="44" t="n">
        <v>576</v>
      </c>
      <c r="F48" s="44" t="n">
        <v>665</v>
      </c>
    </row>
    <row r="49">
      <c r="A49" s="41" t="inlineStr">
        <is>
          <t>Reconstrucción mamaria con tejido autólogo</t>
        </is>
      </c>
      <c r="B49" s="42" t="n">
        <v>169</v>
      </c>
      <c r="C49" s="42" t="n">
        <v>218</v>
      </c>
      <c r="D49" s="42" t="n">
        <v>267</v>
      </c>
      <c r="E49" s="42" t="n">
        <v>316</v>
      </c>
      <c r="F49" s="42" t="n">
        <v>365</v>
      </c>
    </row>
    <row r="50">
      <c r="A50" s="43" t="inlineStr">
        <is>
          <t>Reducción de estómago endoscópica (Endomina)</t>
        </is>
      </c>
      <c r="B50" s="44" t="n">
        <v>169</v>
      </c>
      <c r="C50" s="44" t="n">
        <v>218</v>
      </c>
      <c r="D50" s="44" t="n">
        <v>267</v>
      </c>
      <c r="E50" s="44" t="n">
        <v>316</v>
      </c>
      <c r="F50" s="44" t="n">
        <v>365</v>
      </c>
    </row>
    <row r="51">
      <c r="A51" s="41" t="inlineStr">
        <is>
          <t>Reducción de estómago endoscópica (POSE)</t>
        </is>
      </c>
      <c r="B51" s="42" t="n">
        <v>169</v>
      </c>
      <c r="C51" s="42" t="n">
        <v>218</v>
      </c>
      <c r="D51" s="42" t="n">
        <v>267</v>
      </c>
      <c r="E51" s="42" t="n">
        <v>316</v>
      </c>
      <c r="F51" s="42" t="n">
        <v>365</v>
      </c>
    </row>
    <row r="52">
      <c r="A52" s="43" t="inlineStr">
        <is>
          <t>Reducción de estómago mediante sutura endoscópica</t>
        </is>
      </c>
      <c r="B52" s="44" t="n">
        <v>259</v>
      </c>
      <c r="C52" s="44" t="n">
        <v>398</v>
      </c>
      <c r="D52" s="44" t="n">
        <v>487</v>
      </c>
      <c r="E52" s="44" t="n">
        <v>576</v>
      </c>
      <c r="F52" s="44" t="n">
        <v>665</v>
      </c>
    </row>
    <row r="53">
      <c r="A53" s="41" t="inlineStr">
        <is>
          <t>Reducción de la nuez de Adán (condrolaringoplastia)</t>
        </is>
      </c>
      <c r="B53" s="42" t="n">
        <v>259</v>
      </c>
      <c r="C53" s="42" t="n">
        <v>398</v>
      </c>
      <c r="D53" s="42" t="n">
        <v>487</v>
      </c>
      <c r="E53" s="42" t="n">
        <v>576</v>
      </c>
      <c r="F53" s="42" t="n">
        <v>665</v>
      </c>
    </row>
    <row r="54">
      <c r="A54" s="43" t="inlineStr">
        <is>
          <t>Reducción de pantorrillas</t>
        </is>
      </c>
      <c r="B54" s="44" t="n">
        <v>169</v>
      </c>
      <c r="C54" s="44" t="n">
        <v>218</v>
      </c>
      <c r="D54" s="44" t="n">
        <v>267</v>
      </c>
      <c r="E54" s="44" t="n">
        <v>316</v>
      </c>
      <c r="F54" s="44" t="n">
        <v>365</v>
      </c>
    </row>
    <row r="55">
      <c r="A55" s="41" t="inlineStr">
        <is>
          <t>Reducción mamaria (mamoplastia)</t>
        </is>
      </c>
      <c r="B55" s="42" t="n">
        <v>169</v>
      </c>
      <c r="C55" s="42" t="n">
        <v>218</v>
      </c>
      <c r="D55" s="42" t="n">
        <v>267</v>
      </c>
      <c r="E55" s="42" t="n">
        <v>316</v>
      </c>
      <c r="F55" s="42" t="n">
        <v>365</v>
      </c>
    </row>
    <row r="56">
      <c r="A56" s="43" t="inlineStr">
        <is>
          <t>Retirada de implantes</t>
        </is>
      </c>
      <c r="B56" s="44" t="n">
        <v>169</v>
      </c>
      <c r="C56" s="44" t="n">
        <v>218</v>
      </c>
      <c r="D56" s="44" t="n">
        <v>267</v>
      </c>
      <c r="E56" s="44" t="n">
        <v>316</v>
      </c>
      <c r="F56" s="44" t="n">
        <v>365</v>
      </c>
    </row>
    <row r="57">
      <c r="A57" s="41" t="inlineStr">
        <is>
          <t>Retirada de implantes mamarios (explantación)</t>
        </is>
      </c>
      <c r="B57" s="42" t="n">
        <v>169</v>
      </c>
      <c r="C57" s="42" t="n">
        <v>218</v>
      </c>
      <c r="D57" s="42" t="n">
        <v>267</v>
      </c>
      <c r="E57" s="42" t="n">
        <v>316</v>
      </c>
      <c r="F57" s="42" t="n">
        <v>365</v>
      </c>
    </row>
    <row r="58">
      <c r="A58" s="43" t="inlineStr">
        <is>
          <t>Rinoplastia</t>
        </is>
      </c>
      <c r="B58" s="44" t="n">
        <v>169</v>
      </c>
      <c r="C58" s="44" t="n">
        <v>218</v>
      </c>
      <c r="D58" s="44" t="n">
        <v>267</v>
      </c>
      <c r="E58" s="44" t="n">
        <v>316</v>
      </c>
      <c r="F58" s="44" t="n">
        <v>365</v>
      </c>
    </row>
    <row r="59">
      <c r="A59" s="41" t="inlineStr">
        <is>
          <t>Trasplante capilar</t>
        </is>
      </c>
      <c r="B59" s="42" t="n">
        <v>99</v>
      </c>
      <c r="C59" s="42" t="n">
        <v>128</v>
      </c>
      <c r="D59" s="42" t="n">
        <v>157</v>
      </c>
      <c r="E59" s="42" t="n">
        <v>186</v>
      </c>
      <c r="F59" s="42" t="n">
        <v>215</v>
      </c>
    </row>
    <row r="60">
      <c r="A60" s="43" t="inlineStr">
        <is>
          <t>Tratamiento con grasa autóloga (excepto mama)</t>
        </is>
      </c>
      <c r="B60" s="44" t="n">
        <v>169</v>
      </c>
      <c r="C60" s="44" t="n">
        <v>218</v>
      </c>
      <c r="D60" s="44" t="n">
        <v>267</v>
      </c>
      <c r="E60" s="44" t="n">
        <v>316</v>
      </c>
      <c r="F60" s="44" t="n">
        <v>365</v>
      </c>
    </row>
    <row r="61">
      <c r="A61" s="41" t="inlineStr">
        <is>
          <t>Tratamiento con implante</t>
        </is>
      </c>
      <c r="B61" s="42" t="n">
        <v>259</v>
      </c>
      <c r="C61" s="42" t="n">
        <v>398</v>
      </c>
      <c r="D61" s="42" t="n">
        <v>487</v>
      </c>
      <c r="E61" s="42" t="n">
        <v>576</v>
      </c>
      <c r="F61" s="42" t="n">
        <v>665</v>
      </c>
    </row>
    <row r="62">
      <c r="A62" s="43" t="inlineStr">
        <is>
          <t>Tratamiento con rellenos reabsorbibles (excepto mama)</t>
        </is>
      </c>
      <c r="B62" s="44" t="n">
        <v>169</v>
      </c>
      <c r="C62" s="44" t="n">
        <v>218</v>
      </c>
      <c r="D62" s="44" t="n">
        <v>267</v>
      </c>
      <c r="E62" s="44" t="n">
        <v>316</v>
      </c>
      <c r="F62" s="44" t="n">
        <v>365</v>
      </c>
    </row>
    <row r="63">
      <c r="A63" s="41" t="inlineStr">
        <is>
          <t>Tratamiento dental / prótesis dental entre 1.001 € y 3.000 €</t>
        </is>
      </c>
      <c r="B63" s="42" t="n">
        <v>169</v>
      </c>
      <c r="C63" s="42" t="n">
        <v>218</v>
      </c>
      <c r="D63" s="42" t="n">
        <v>267</v>
      </c>
      <c r="E63" s="42" t="n">
        <v>316</v>
      </c>
      <c r="F63" s="42" t="n">
        <v>365</v>
      </c>
    </row>
    <row r="64">
      <c r="A64" s="43" t="inlineStr">
        <is>
          <t>Tratamiento dental / prótesis dental hasta 1.000 €</t>
        </is>
      </c>
      <c r="B64" s="44" t="n">
        <v>99</v>
      </c>
      <c r="C64" s="44" t="n">
        <v>128</v>
      </c>
      <c r="D64" s="44" t="n">
        <v>157</v>
      </c>
      <c r="E64" s="44" t="n">
        <v>186</v>
      </c>
      <c r="F64" s="44" t="n">
        <v>215</v>
      </c>
    </row>
    <row r="65">
      <c r="A65" s="41" t="inlineStr">
        <is>
          <t>Tratamiento dental / prótesis dental superior a 3.001 €</t>
        </is>
      </c>
      <c r="B65" s="42" t="n">
        <v>259</v>
      </c>
      <c r="C65" s="42" t="n">
        <v>398</v>
      </c>
      <c r="D65" s="42" t="n">
        <v>487</v>
      </c>
      <c r="E65" s="42" t="n">
        <v>576</v>
      </c>
      <c r="F65" s="42" t="n">
        <v>665</v>
      </c>
    </row>
  </sheetData>
  <sheetProtection selectLockedCells="0" selectUnlockedCells="0" sheet="1" objects="0" insertRows="0" insertHyperlinks="1" autoFilter="1" scenarios="0" formatColumns="0" deleteColumns="1" insertColumns="1" pivotTables="1" deleteRows="0" formatCells="0" formatRows="0" sort="0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2026-10-06T11:30:34Z</dcterms:created>
  <dcterms:modified xmlns:dcterms="http://purl.org/dc/terms/" xmlns:xsi="http://www.w3.org/2001/XMLSchema-instance" xsi:type="dcterms:W3CDTF">2026-10-06T11:30:36Z</dcterms:modified>
</cp:coreProperties>
</file>